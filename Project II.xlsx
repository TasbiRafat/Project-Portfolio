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defaultThemeVersion="166925"/>
  <mc:AlternateContent xmlns:mc="http://schemas.openxmlformats.org/markup-compatibility/2006">
    <mc:Choice Requires="x15">
      <x15ac:absPath xmlns:x15ac="http://schemas.microsoft.com/office/spreadsheetml/2010/11/ac" url="/Users/tasbirafat/Downloads/"/>
    </mc:Choice>
  </mc:AlternateContent>
  <xr:revisionPtr revIDLastSave="0" documentId="13_ncr:1_{15BFF0AF-E039-0E43-806F-775C284AA7C2}" xr6:coauthVersionLast="47" xr6:coauthVersionMax="47" xr10:uidLastSave="{00000000-0000-0000-0000-000000000000}"/>
  <bookViews>
    <workbookView xWindow="0" yWindow="660" windowWidth="29400" windowHeight="170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<sst xmlns="http://schemas.openxmlformats.org/spreadsheetml/2006/main" count="16274" uniqueCount="50">
  <si>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</si>
  <si>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</si>
  <si>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</si>
  <si>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</si>
  <si>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</si>
  <si>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</si>
  <si>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</si>
  <si>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</si>
  <si>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</si>
  <si>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</si>
  <si>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</si>
  <si>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</si>
  <si>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</si>
  <si>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</si>
  <si>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</si>
  <si>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</si>
  <si>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</si>
  <si>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</si>
  <si>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</si>
  <si>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</si>
  <si>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</si>
  <si>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</si>
  <si>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</si>
  <si>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</si>
  <si>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</si>
  <si>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</si>
  <si>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</si>
  <si>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</si>
  <si>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</si>
  <si>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</si>
  <si>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</si>
  <si>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</si>
  <si>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</si>
  <si>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</si>
  <si>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</si>
  <si>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</si>
  <si>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</si>
  <si>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</si>
  <si>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</si>
  <si>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</si>
  <si>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</si>
  <si>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</si>
  <si>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</si>
  <si>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</si>
  <si>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</si>
  <si>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</si>
  <si>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Invalid</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</si>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</sst>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71111.111111111109</c:v>
                </c:pt>
                <c:pt idx="1">
                  <c:v>66774.193548387091</c:v>
                </c:pt>
              </c:numCache>
            </c:numRef>
          </c:val>
          <c:extLst>
            <c:ext xmlns:c16="http://schemas.microsoft.com/office/drawing/2014/chart" uri="{C3380CC4-5D6E-409C-BE32-E72D297353CC}">
              <c16:uniqueId val="{00000000-8CAE-EE4A-960C-CDBB775C03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76875</c:v>
                </c:pt>
                <c:pt idx="1">
                  <c:v>61250</c:v>
                </c:pt>
              </c:numCache>
            </c:numRef>
          </c:val>
          <c:extLst>
            <c:ext xmlns:c16="http://schemas.microsoft.com/office/drawing/2014/chart" uri="{C3380CC4-5D6E-409C-BE32-E72D297353CC}">
              <c16:uniqueId val="{00000001-8CAE-EE4A-960C-CDBB775C03EB}"/>
            </c:ext>
          </c:extLst>
        </c:ser>
        <c:dLbls>
          <c:showLegendKey val="0"/>
          <c:showVal val="0"/>
          <c:showCatName val="0"/>
          <c:showSerName val="0"/>
          <c:showPercent val="0"/>
          <c:showBubbleSize val="0"/>
        </c:dLbls>
        <c:gapWidth val="219"/>
        <c:overlap val="-27"/>
        <c:axId val="2043421888"/>
        <c:axId val="2043422784"/>
      </c:barChart>
      <c:catAx>
        <c:axId val="204342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22784"/>
        <c:crosses val="autoZero"/>
        <c:auto val="1"/>
        <c:lblAlgn val="ctr"/>
        <c:lblOffset val="100"/>
        <c:noMultiLvlLbl val="0"/>
      </c:catAx>
      <c:valAx>
        <c:axId val="204342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2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10+ Miles</c:v>
                </c:pt>
                <c:pt idx="3">
                  <c:v>2-5 Miles</c:v>
                </c:pt>
                <c:pt idx="4">
                  <c:v>5-10 Miles</c:v>
                </c:pt>
              </c:strCache>
            </c:strRef>
          </c:cat>
          <c:val>
            <c:numRef>
              <c:f>'Pivot Table'!$B$25:$B$30</c:f>
              <c:numCache>
                <c:formatCode>General</c:formatCode>
                <c:ptCount val="5"/>
                <c:pt idx="0">
                  <c:v>12</c:v>
                </c:pt>
                <c:pt idx="1">
                  <c:v>8</c:v>
                </c:pt>
                <c:pt idx="2">
                  <c:v>16</c:v>
                </c:pt>
                <c:pt idx="3">
                  <c:v>9</c:v>
                </c:pt>
                <c:pt idx="4">
                  <c:v>4</c:v>
                </c:pt>
              </c:numCache>
            </c:numRef>
          </c:val>
          <c:smooth val="0"/>
          <c:extLst>
            <c:ext xmlns:c16="http://schemas.microsoft.com/office/drawing/2014/chart" uri="{C3380CC4-5D6E-409C-BE32-E72D297353CC}">
              <c16:uniqueId val="{00000000-3987-F44D-8150-C1E502154581}"/>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10+ Miles</c:v>
                </c:pt>
                <c:pt idx="3">
                  <c:v>2-5 Miles</c:v>
                </c:pt>
                <c:pt idx="4">
                  <c:v>5-10 Miles</c:v>
                </c:pt>
              </c:strCache>
            </c:strRef>
          </c:cat>
          <c:val>
            <c:numRef>
              <c:f>'Pivot Table'!$C$25:$C$30</c:f>
              <c:numCache>
                <c:formatCode>General</c:formatCode>
                <c:ptCount val="5"/>
                <c:pt idx="0">
                  <c:v>10</c:v>
                </c:pt>
                <c:pt idx="1">
                  <c:v>5</c:v>
                </c:pt>
                <c:pt idx="3">
                  <c:v>8</c:v>
                </c:pt>
                <c:pt idx="4">
                  <c:v>1</c:v>
                </c:pt>
              </c:numCache>
            </c:numRef>
          </c:val>
          <c:smooth val="0"/>
          <c:extLst>
            <c:ext xmlns:c16="http://schemas.microsoft.com/office/drawing/2014/chart" uri="{C3380CC4-5D6E-409C-BE32-E72D297353CC}">
              <c16:uniqueId val="{00000001-3987-F44D-8150-C1E502154581}"/>
            </c:ext>
          </c:extLst>
        </c:ser>
        <c:dLbls>
          <c:showLegendKey val="0"/>
          <c:showVal val="0"/>
          <c:showCatName val="0"/>
          <c:showSerName val="0"/>
          <c:showPercent val="0"/>
          <c:showBubbleSize val="0"/>
        </c:dLbls>
        <c:smooth val="0"/>
        <c:axId val="2065662400"/>
        <c:axId val="2065664192"/>
      </c:lineChart>
      <c:catAx>
        <c:axId val="20656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64192"/>
        <c:crosses val="autoZero"/>
        <c:auto val="1"/>
        <c:lblAlgn val="ctr"/>
        <c:lblOffset val="100"/>
        <c:noMultiLvlLbl val="0"/>
      </c:catAx>
      <c:valAx>
        <c:axId val="206566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6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Invalid</c:v>
                </c:pt>
                <c:pt idx="1">
                  <c:v>Middle Age</c:v>
                </c:pt>
                <c:pt idx="2">
                  <c:v>Old</c:v>
                </c:pt>
              </c:strCache>
            </c:strRef>
          </c:cat>
          <c:val>
            <c:numRef>
              <c:f>'Pivot Table'!$B$43:$B$46</c:f>
              <c:numCache>
                <c:formatCode>General</c:formatCode>
                <c:ptCount val="3"/>
                <c:pt idx="0">
                  <c:v>5</c:v>
                </c:pt>
                <c:pt idx="1">
                  <c:v>20</c:v>
                </c:pt>
                <c:pt idx="2">
                  <c:v>24</c:v>
                </c:pt>
              </c:numCache>
            </c:numRef>
          </c:val>
          <c:smooth val="0"/>
          <c:extLst>
            <c:ext xmlns:c16="http://schemas.microsoft.com/office/drawing/2014/chart" uri="{C3380CC4-5D6E-409C-BE32-E72D297353CC}">
              <c16:uniqueId val="{00000000-9DAE-5347-9485-4BB3E36A0B2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Invalid</c:v>
                </c:pt>
                <c:pt idx="1">
                  <c:v>Middle Age</c:v>
                </c:pt>
                <c:pt idx="2">
                  <c:v>Old</c:v>
                </c:pt>
              </c:strCache>
            </c:strRef>
          </c:cat>
          <c:val>
            <c:numRef>
              <c:f>'Pivot Table'!$C$43:$C$46</c:f>
              <c:numCache>
                <c:formatCode>General</c:formatCode>
                <c:ptCount val="3"/>
                <c:pt idx="0">
                  <c:v>2</c:v>
                </c:pt>
                <c:pt idx="1">
                  <c:v>19</c:v>
                </c:pt>
                <c:pt idx="2">
                  <c:v>3</c:v>
                </c:pt>
              </c:numCache>
            </c:numRef>
          </c:val>
          <c:smooth val="0"/>
          <c:extLst>
            <c:ext xmlns:c16="http://schemas.microsoft.com/office/drawing/2014/chart" uri="{C3380CC4-5D6E-409C-BE32-E72D297353CC}">
              <c16:uniqueId val="{00000001-9DAE-5347-9485-4BB3E36A0B22}"/>
            </c:ext>
          </c:extLst>
        </c:ser>
        <c:dLbls>
          <c:showLegendKey val="0"/>
          <c:showVal val="0"/>
          <c:showCatName val="0"/>
          <c:showSerName val="0"/>
          <c:showPercent val="0"/>
          <c:showBubbleSize val="0"/>
        </c:dLbls>
        <c:marker val="1"/>
        <c:smooth val="0"/>
        <c:axId val="2012243584"/>
        <c:axId val="2012235520"/>
      </c:lineChart>
      <c:catAx>
        <c:axId val="2012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35520"/>
        <c:crosses val="autoZero"/>
        <c:auto val="1"/>
        <c:lblAlgn val="ctr"/>
        <c:lblOffset val="100"/>
        <c:noMultiLvlLbl val="0"/>
      </c:catAx>
      <c:valAx>
        <c:axId val="201223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4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Table'!$B$61:$B$62</c:f>
              <c:strCache>
                <c:ptCount val="1"/>
                <c:pt idx="0">
                  <c:v>No</c:v>
                </c:pt>
              </c:strCache>
            </c:strRef>
          </c:tx>
          <c:spPr>
            <a:solidFill>
              <a:schemeClr val="accent1"/>
            </a:solidFill>
            <a:ln>
              <a:noFill/>
            </a:ln>
            <a:effectLst/>
          </c:spPr>
          <c:invertIfNegative val="0"/>
          <c:cat>
            <c:strRef>
              <c:f>'Pivot Table'!$A$63:$A$86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Table'!$B$63:$B$86</c:f>
              <c:numCache>
                <c:formatCode>General</c:formatCode>
                <c:ptCount val="23"/>
                <c:pt idx="1">
                  <c:v>1</c:v>
                </c:pt>
                <c:pt idx="2">
                  <c:v>1</c:v>
                </c:pt>
                <c:pt idx="3">
                  <c:v>2</c:v>
                </c:pt>
                <c:pt idx="4">
                  <c:v>2</c:v>
                </c:pt>
                <c:pt idx="5">
                  <c:v>4</c:v>
                </c:pt>
                <c:pt idx="6">
                  <c:v>7</c:v>
                </c:pt>
                <c:pt idx="7">
                  <c:v>2</c:v>
                </c:pt>
                <c:pt idx="8">
                  <c:v>1</c:v>
                </c:pt>
                <c:pt idx="9">
                  <c:v>1</c:v>
                </c:pt>
                <c:pt idx="10">
                  <c:v>1</c:v>
                </c:pt>
                <c:pt idx="11">
                  <c:v>3</c:v>
                </c:pt>
                <c:pt idx="14">
                  <c:v>2</c:v>
                </c:pt>
                <c:pt idx="15">
                  <c:v>1</c:v>
                </c:pt>
                <c:pt idx="16">
                  <c:v>6</c:v>
                </c:pt>
                <c:pt idx="17">
                  <c:v>3</c:v>
                </c:pt>
                <c:pt idx="18">
                  <c:v>1</c:v>
                </c:pt>
                <c:pt idx="19">
                  <c:v>1</c:v>
                </c:pt>
                <c:pt idx="20">
                  <c:v>3</c:v>
                </c:pt>
                <c:pt idx="21">
                  <c:v>3</c:v>
                </c:pt>
                <c:pt idx="22">
                  <c:v>4</c:v>
                </c:pt>
              </c:numCache>
            </c:numRef>
          </c:val>
          <c:extLst>
            <c:ext xmlns:c16="http://schemas.microsoft.com/office/drawing/2014/chart" uri="{C3380CC4-5D6E-409C-BE32-E72D297353CC}">
              <c16:uniqueId val="{00000000-2B7A-5949-84B9-91C4AFB9D993}"/>
            </c:ext>
          </c:extLst>
        </c:ser>
        <c:dLbls>
          <c:showLegendKey val="0"/>
          <c:showVal val="0"/>
          <c:showCatName val="0"/>
          <c:showSerName val="0"/>
          <c:showPercent val="0"/>
          <c:showBubbleSize val="0"/>
        </c:dLbls>
        <c:gapWidth val="150"/>
        <c:axId val="2078584640"/>
        <c:axId val="2078583296"/>
      </c:barChart>
      <c:lineChart>
        <c:grouping val="standard"/>
        <c:varyColors val="0"/>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Table'!$A$63:$A$86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Table'!$C$63:$C$86</c:f>
              <c:numCache>
                <c:formatCode>General</c:formatCode>
                <c:ptCount val="23"/>
                <c:pt idx="0">
                  <c:v>5</c:v>
                </c:pt>
                <c:pt idx="2">
                  <c:v>1</c:v>
                </c:pt>
                <c:pt idx="3">
                  <c:v>2</c:v>
                </c:pt>
                <c:pt idx="6">
                  <c:v>1</c:v>
                </c:pt>
                <c:pt idx="7">
                  <c:v>2</c:v>
                </c:pt>
                <c:pt idx="8">
                  <c:v>2</c:v>
                </c:pt>
                <c:pt idx="9">
                  <c:v>2</c:v>
                </c:pt>
                <c:pt idx="11">
                  <c:v>1</c:v>
                </c:pt>
                <c:pt idx="12">
                  <c:v>4</c:v>
                </c:pt>
                <c:pt idx="13">
                  <c:v>1</c:v>
                </c:pt>
                <c:pt idx="20">
                  <c:v>1</c:v>
                </c:pt>
                <c:pt idx="21">
                  <c:v>1</c:v>
                </c:pt>
                <c:pt idx="22">
                  <c:v>1</c:v>
                </c:pt>
              </c:numCache>
            </c:numRef>
          </c:val>
          <c:smooth val="0"/>
          <c:extLst>
            <c:ext xmlns:c16="http://schemas.microsoft.com/office/drawing/2014/chart" uri="{C3380CC4-5D6E-409C-BE32-E72D297353CC}">
              <c16:uniqueId val="{00000001-2B7A-5949-84B9-91C4AFB9D993}"/>
            </c:ext>
          </c:extLst>
        </c:ser>
        <c:dLbls>
          <c:showLegendKey val="0"/>
          <c:showVal val="0"/>
          <c:showCatName val="0"/>
          <c:showSerName val="0"/>
          <c:showPercent val="0"/>
          <c:showBubbleSize val="0"/>
        </c:dLbls>
        <c:marker val="1"/>
        <c:smooth val="0"/>
        <c:axId val="2078584640"/>
        <c:axId val="2078583296"/>
      </c:lineChart>
      <c:catAx>
        <c:axId val="20785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83296"/>
        <c:crosses val="autoZero"/>
        <c:auto val="1"/>
        <c:lblAlgn val="ctr"/>
        <c:lblOffset val="100"/>
        <c:noMultiLvlLbl val="0"/>
      </c:catAx>
      <c:valAx>
        <c:axId val="207858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71111.111111111109</c:v>
                </c:pt>
                <c:pt idx="1">
                  <c:v>66774.193548387091</c:v>
                </c:pt>
              </c:numCache>
            </c:numRef>
          </c:val>
          <c:extLst>
            <c:ext xmlns:c16="http://schemas.microsoft.com/office/drawing/2014/chart" uri="{C3380CC4-5D6E-409C-BE32-E72D297353CC}">
              <c16:uniqueId val="{00000000-78D1-BC40-B59B-AB3AA76CD49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76875</c:v>
                </c:pt>
                <c:pt idx="1">
                  <c:v>61250</c:v>
                </c:pt>
              </c:numCache>
            </c:numRef>
          </c:val>
          <c:extLst>
            <c:ext xmlns:c16="http://schemas.microsoft.com/office/drawing/2014/chart" uri="{C3380CC4-5D6E-409C-BE32-E72D297353CC}">
              <c16:uniqueId val="{00000001-78D1-BC40-B59B-AB3AA76CD49B}"/>
            </c:ext>
          </c:extLst>
        </c:ser>
        <c:dLbls>
          <c:showLegendKey val="0"/>
          <c:showVal val="0"/>
          <c:showCatName val="0"/>
          <c:showSerName val="0"/>
          <c:showPercent val="0"/>
          <c:showBubbleSize val="0"/>
        </c:dLbls>
        <c:gapWidth val="219"/>
        <c:overlap val="-27"/>
        <c:axId val="2043421888"/>
        <c:axId val="2043422784"/>
      </c:barChart>
      <c:catAx>
        <c:axId val="204342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22784"/>
        <c:crosses val="autoZero"/>
        <c:auto val="1"/>
        <c:lblAlgn val="ctr"/>
        <c:lblOffset val="100"/>
        <c:noMultiLvlLbl val="0"/>
      </c:catAx>
      <c:valAx>
        <c:axId val="204342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2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10+ Miles</c:v>
                </c:pt>
                <c:pt idx="3">
                  <c:v>2-5 Miles</c:v>
                </c:pt>
                <c:pt idx="4">
                  <c:v>5-10 Miles</c:v>
                </c:pt>
              </c:strCache>
            </c:strRef>
          </c:cat>
          <c:val>
            <c:numRef>
              <c:f>'Pivot Table'!$B$25:$B$30</c:f>
              <c:numCache>
                <c:formatCode>General</c:formatCode>
                <c:ptCount val="5"/>
                <c:pt idx="0">
                  <c:v>12</c:v>
                </c:pt>
                <c:pt idx="1">
                  <c:v>8</c:v>
                </c:pt>
                <c:pt idx="2">
                  <c:v>16</c:v>
                </c:pt>
                <c:pt idx="3">
                  <c:v>9</c:v>
                </c:pt>
                <c:pt idx="4">
                  <c:v>4</c:v>
                </c:pt>
              </c:numCache>
            </c:numRef>
          </c:val>
          <c:smooth val="0"/>
          <c:extLst>
            <c:ext xmlns:c16="http://schemas.microsoft.com/office/drawing/2014/chart" uri="{C3380CC4-5D6E-409C-BE32-E72D297353CC}">
              <c16:uniqueId val="{00000000-9A48-F245-9F62-4C4FBEE540D4}"/>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10+ Miles</c:v>
                </c:pt>
                <c:pt idx="3">
                  <c:v>2-5 Miles</c:v>
                </c:pt>
                <c:pt idx="4">
                  <c:v>5-10 Miles</c:v>
                </c:pt>
              </c:strCache>
            </c:strRef>
          </c:cat>
          <c:val>
            <c:numRef>
              <c:f>'Pivot Table'!$C$25:$C$30</c:f>
              <c:numCache>
                <c:formatCode>General</c:formatCode>
                <c:ptCount val="5"/>
                <c:pt idx="0">
                  <c:v>10</c:v>
                </c:pt>
                <c:pt idx="1">
                  <c:v>5</c:v>
                </c:pt>
                <c:pt idx="3">
                  <c:v>8</c:v>
                </c:pt>
                <c:pt idx="4">
                  <c:v>1</c:v>
                </c:pt>
              </c:numCache>
            </c:numRef>
          </c:val>
          <c:smooth val="0"/>
          <c:extLst>
            <c:ext xmlns:c16="http://schemas.microsoft.com/office/drawing/2014/chart" uri="{C3380CC4-5D6E-409C-BE32-E72D297353CC}">
              <c16:uniqueId val="{00000001-9A48-F245-9F62-4C4FBEE540D4}"/>
            </c:ext>
          </c:extLst>
        </c:ser>
        <c:dLbls>
          <c:showLegendKey val="0"/>
          <c:showVal val="0"/>
          <c:showCatName val="0"/>
          <c:showSerName val="0"/>
          <c:showPercent val="0"/>
          <c:showBubbleSize val="0"/>
        </c:dLbls>
        <c:smooth val="0"/>
        <c:axId val="2065662400"/>
        <c:axId val="2065664192"/>
      </c:lineChart>
      <c:catAx>
        <c:axId val="20656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64192"/>
        <c:crosses val="autoZero"/>
        <c:auto val="1"/>
        <c:lblAlgn val="ctr"/>
        <c:lblOffset val="100"/>
        <c:noMultiLvlLbl val="0"/>
      </c:catAx>
      <c:valAx>
        <c:axId val="206566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6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II.xlsx]Pivot 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Invalid</c:v>
                </c:pt>
                <c:pt idx="1">
                  <c:v>Middle Age</c:v>
                </c:pt>
                <c:pt idx="2">
                  <c:v>Old</c:v>
                </c:pt>
              </c:strCache>
            </c:strRef>
          </c:cat>
          <c:val>
            <c:numRef>
              <c:f>'Pivot Table'!$B$43:$B$46</c:f>
              <c:numCache>
                <c:formatCode>General</c:formatCode>
                <c:ptCount val="3"/>
                <c:pt idx="0">
                  <c:v>5</c:v>
                </c:pt>
                <c:pt idx="1">
                  <c:v>20</c:v>
                </c:pt>
                <c:pt idx="2">
                  <c:v>24</c:v>
                </c:pt>
              </c:numCache>
            </c:numRef>
          </c:val>
          <c:smooth val="0"/>
          <c:extLst>
            <c:ext xmlns:c16="http://schemas.microsoft.com/office/drawing/2014/chart" uri="{C3380CC4-5D6E-409C-BE32-E72D297353CC}">
              <c16:uniqueId val="{00000003-3E50-1841-B02C-6DEABE741E0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Invalid</c:v>
                </c:pt>
                <c:pt idx="1">
                  <c:v>Middle Age</c:v>
                </c:pt>
                <c:pt idx="2">
                  <c:v>Old</c:v>
                </c:pt>
              </c:strCache>
            </c:strRef>
          </c:cat>
          <c:val>
            <c:numRef>
              <c:f>'Pivot Table'!$C$43:$C$46</c:f>
              <c:numCache>
                <c:formatCode>General</c:formatCode>
                <c:ptCount val="3"/>
                <c:pt idx="0">
                  <c:v>2</c:v>
                </c:pt>
                <c:pt idx="1">
                  <c:v>19</c:v>
                </c:pt>
                <c:pt idx="2">
                  <c:v>3</c:v>
                </c:pt>
              </c:numCache>
            </c:numRef>
          </c:val>
          <c:smooth val="0"/>
          <c:extLst>
            <c:ext xmlns:c16="http://schemas.microsoft.com/office/drawing/2014/chart" uri="{C3380CC4-5D6E-409C-BE32-E72D297353CC}">
              <c16:uniqueId val="{00000005-3E50-1841-B02C-6DEABE741E04}"/>
            </c:ext>
          </c:extLst>
        </c:ser>
        <c:dLbls>
          <c:showLegendKey val="0"/>
          <c:showVal val="0"/>
          <c:showCatName val="0"/>
          <c:showSerName val="0"/>
          <c:showPercent val="0"/>
          <c:showBubbleSize val="0"/>
        </c:dLbls>
        <c:marker val="1"/>
        <c:smooth val="0"/>
        <c:axId val="2012243584"/>
        <c:axId val="2012235520"/>
      </c:lineChart>
      <c:catAx>
        <c:axId val="20122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35520"/>
        <c:crosses val="autoZero"/>
        <c:auto val="1"/>
        <c:lblAlgn val="ctr"/>
        <c:lblOffset val="100"/>
        <c:noMultiLvlLbl val="0"/>
      </c:catAx>
      <c:valAx>
        <c:axId val="201223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435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603250</xdr:colOff>
      <xdr:row>1</xdr:row>
      <xdr:rowOff>12700</xdr:rowOff>
    </xdr:from>
    <xdr:to>
      <xdr:col>12</xdr:col>
      <xdr:colOff>241300</xdr:colOff>
      <xdr:row>17</xdr:row>
      <xdr:rowOff>38100</xdr:rowOff>
    </xdr:to>
    <xdr:graphicFrame macro="">
      <xdr:nvGraphicFramePr>
        <xdr:cNvPr id="11" name="Chart 10">
          <a:extLst>
            <a:ext uri="{FF2B5EF4-FFF2-40B4-BE49-F238E27FC236}">
              <a16:creationId xmlns:a16="http://schemas.microsoft.com/office/drawing/2014/main" id="{FE6BABCF-422E-6DB3-CD3E-137800B58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787400</xdr:colOff>
      <xdr:row>17</xdr:row>
      <xdr:rowOff>63500</xdr:rowOff>
    </xdr:from>
    <xdr:to>
      <xdr:col>10</xdr:col>
      <xdr:colOff>50800</xdr:colOff>
      <xdr:row>18</xdr:row>
      <xdr:rowOff>139700</xdr:rowOff>
    </xdr:to>
    <xdr:sp macro="" textlink="">
      <xdr:nvSpPr>
        <xdr:cNvPr id="12" name="TextBox 11">
          <a:extLst>
            <a:ext uri="{FF2B5EF4-FFF2-40B4-BE49-F238E27FC236}">
              <a16:creationId xmlns:a16="http://schemas.microsoft.com/office/drawing/2014/main" id="{BC6BFFD0-2CF8-3348-9D69-7FB71D9214C5}"/>
            </a:ext>
          </a:extLst>
        </xdr:cNvPr>
        <xdr:cNvSpPr txBox="1"/>
      </xdr:nvSpPr>
      <xdr:spPr>
        <a:xfrm>
          <a:off x="7581900" y="3302000"/>
          <a:ext cx="1739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Gender</a:t>
          </a:r>
        </a:p>
        <a:p>
          <a:pPr algn="ctr"/>
          <a:endParaRPr lang="en-US" sz="1100" b="1"/>
        </a:p>
      </xdr:txBody>
    </xdr:sp>
    <xdr:clientData/>
  </xdr:twoCellAnchor>
  <xdr:twoCellAnchor>
    <xdr:from>
      <xdr:col>4</xdr:col>
      <xdr:colOff>215900</xdr:colOff>
      <xdr:row>7</xdr:row>
      <xdr:rowOff>101600</xdr:rowOff>
    </xdr:from>
    <xdr:to>
      <xdr:col>5</xdr:col>
      <xdr:colOff>558800</xdr:colOff>
      <xdr:row>9</xdr:row>
      <xdr:rowOff>63500</xdr:rowOff>
    </xdr:to>
    <xdr:sp macro="" textlink="">
      <xdr:nvSpPr>
        <xdr:cNvPr id="13" name="TextBox 12">
          <a:extLst>
            <a:ext uri="{FF2B5EF4-FFF2-40B4-BE49-F238E27FC236}">
              <a16:creationId xmlns:a16="http://schemas.microsoft.com/office/drawing/2014/main" id="{EFA47A08-36BA-4032-5CC4-0275C067611B}"/>
            </a:ext>
          </a:extLst>
        </xdr:cNvPr>
        <xdr:cNvSpPr txBox="1"/>
      </xdr:nvSpPr>
      <xdr:spPr>
        <a:xfrm>
          <a:off x="4533900" y="1435100"/>
          <a:ext cx="11684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Income</a:t>
          </a:r>
        </a:p>
      </xdr:txBody>
    </xdr:sp>
    <xdr:clientData/>
  </xdr:twoCellAnchor>
  <xdr:twoCellAnchor>
    <xdr:from>
      <xdr:col>11</xdr:col>
      <xdr:colOff>254000</xdr:colOff>
      <xdr:row>5</xdr:row>
      <xdr:rowOff>114300</xdr:rowOff>
    </xdr:from>
    <xdr:to>
      <xdr:col>12</xdr:col>
      <xdr:colOff>495300</xdr:colOff>
      <xdr:row>7</xdr:row>
      <xdr:rowOff>177800</xdr:rowOff>
    </xdr:to>
    <xdr:sp macro="" textlink="">
      <xdr:nvSpPr>
        <xdr:cNvPr id="14" name="TextBox 13">
          <a:extLst>
            <a:ext uri="{FF2B5EF4-FFF2-40B4-BE49-F238E27FC236}">
              <a16:creationId xmlns:a16="http://schemas.microsoft.com/office/drawing/2014/main" id="{3764B416-B27C-D142-2893-2D701B607CE7}"/>
            </a:ext>
          </a:extLst>
        </xdr:cNvPr>
        <xdr:cNvSpPr txBox="1"/>
      </xdr:nvSpPr>
      <xdr:spPr>
        <a:xfrm>
          <a:off x="10350500" y="1066800"/>
          <a:ext cx="10668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5</xdr:col>
      <xdr:colOff>609600</xdr:colOff>
      <xdr:row>21</xdr:row>
      <xdr:rowOff>76200</xdr:rowOff>
    </xdr:from>
    <xdr:to>
      <xdr:col>12</xdr:col>
      <xdr:colOff>215900</xdr:colOff>
      <xdr:row>35</xdr:row>
      <xdr:rowOff>152400</xdr:rowOff>
    </xdr:to>
    <xdr:graphicFrame macro="">
      <xdr:nvGraphicFramePr>
        <xdr:cNvPr id="15" name="Chart 14">
          <a:extLst>
            <a:ext uri="{FF2B5EF4-FFF2-40B4-BE49-F238E27FC236}">
              <a16:creationId xmlns:a16="http://schemas.microsoft.com/office/drawing/2014/main" id="{AB7D52F0-8644-2828-6C98-551A21FF9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22</xdr:row>
      <xdr:rowOff>25400</xdr:rowOff>
    </xdr:from>
    <xdr:to>
      <xdr:col>9</xdr:col>
      <xdr:colOff>673100</xdr:colOff>
      <xdr:row>23</xdr:row>
      <xdr:rowOff>114300</xdr:rowOff>
    </xdr:to>
    <xdr:sp macro="" textlink="">
      <xdr:nvSpPr>
        <xdr:cNvPr id="16" name="TextBox 15">
          <a:extLst>
            <a:ext uri="{FF2B5EF4-FFF2-40B4-BE49-F238E27FC236}">
              <a16:creationId xmlns:a16="http://schemas.microsoft.com/office/drawing/2014/main" id="{60CEAC98-B92C-52F5-08A4-22D1E6A7AD1E}"/>
            </a:ext>
          </a:extLst>
        </xdr:cNvPr>
        <xdr:cNvSpPr txBox="1"/>
      </xdr:nvSpPr>
      <xdr:spPr>
        <a:xfrm>
          <a:off x="6807200" y="4216400"/>
          <a:ext cx="17145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Customer</a:t>
          </a:r>
          <a:r>
            <a:rPr lang="en-US" sz="1100" b="1" baseline="0"/>
            <a:t> Commute</a:t>
          </a:r>
          <a:endParaRPr lang="en-US" sz="1100" b="1"/>
        </a:p>
      </xdr:txBody>
    </xdr:sp>
    <xdr:clientData/>
  </xdr:twoCellAnchor>
  <xdr:twoCellAnchor>
    <xdr:from>
      <xdr:col>10</xdr:col>
      <xdr:colOff>812800</xdr:colOff>
      <xdr:row>25</xdr:row>
      <xdr:rowOff>152400</xdr:rowOff>
    </xdr:from>
    <xdr:to>
      <xdr:col>12</xdr:col>
      <xdr:colOff>685800</xdr:colOff>
      <xdr:row>27</xdr:row>
      <xdr:rowOff>50800</xdr:rowOff>
    </xdr:to>
    <xdr:sp macro="" textlink="">
      <xdr:nvSpPr>
        <xdr:cNvPr id="17" name="TextBox 16">
          <a:extLst>
            <a:ext uri="{FF2B5EF4-FFF2-40B4-BE49-F238E27FC236}">
              <a16:creationId xmlns:a16="http://schemas.microsoft.com/office/drawing/2014/main" id="{D33E5644-191A-45EF-4B53-0983D90D3691}"/>
            </a:ext>
          </a:extLst>
        </xdr:cNvPr>
        <xdr:cNvSpPr txBox="1"/>
      </xdr:nvSpPr>
      <xdr:spPr>
        <a:xfrm>
          <a:off x="9486900" y="4914900"/>
          <a:ext cx="15240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8</xdr:col>
      <xdr:colOff>177800</xdr:colOff>
      <xdr:row>35</xdr:row>
      <xdr:rowOff>177800</xdr:rowOff>
    </xdr:from>
    <xdr:to>
      <xdr:col>9</xdr:col>
      <xdr:colOff>622300</xdr:colOff>
      <xdr:row>37</xdr:row>
      <xdr:rowOff>101600</xdr:rowOff>
    </xdr:to>
    <xdr:sp macro="" textlink="">
      <xdr:nvSpPr>
        <xdr:cNvPr id="18" name="TextBox 17">
          <a:extLst>
            <a:ext uri="{FF2B5EF4-FFF2-40B4-BE49-F238E27FC236}">
              <a16:creationId xmlns:a16="http://schemas.microsoft.com/office/drawing/2014/main" id="{61C26DF1-22ED-02F9-1E47-3CC6304A9D5D}"/>
            </a:ext>
          </a:extLst>
        </xdr:cNvPr>
        <xdr:cNvSpPr txBox="1"/>
      </xdr:nvSpPr>
      <xdr:spPr>
        <a:xfrm>
          <a:off x="7200900" y="6845300"/>
          <a:ext cx="12700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Distance</a:t>
          </a:r>
        </a:p>
      </xdr:txBody>
    </xdr:sp>
    <xdr:clientData/>
  </xdr:twoCellAnchor>
  <xdr:twoCellAnchor>
    <xdr:from>
      <xdr:col>4</xdr:col>
      <xdr:colOff>317500</xdr:colOff>
      <xdr:row>26</xdr:row>
      <xdr:rowOff>177800</xdr:rowOff>
    </xdr:from>
    <xdr:to>
      <xdr:col>5</xdr:col>
      <xdr:colOff>584200</xdr:colOff>
      <xdr:row>28</xdr:row>
      <xdr:rowOff>63500</xdr:rowOff>
    </xdr:to>
    <xdr:sp macro="" textlink="">
      <xdr:nvSpPr>
        <xdr:cNvPr id="19" name="TextBox 18">
          <a:extLst>
            <a:ext uri="{FF2B5EF4-FFF2-40B4-BE49-F238E27FC236}">
              <a16:creationId xmlns:a16="http://schemas.microsoft.com/office/drawing/2014/main" id="{434F78C9-27E1-C71E-CB54-E1B9329895C6}"/>
            </a:ext>
          </a:extLst>
        </xdr:cNvPr>
        <xdr:cNvSpPr txBox="1"/>
      </xdr:nvSpPr>
      <xdr:spPr>
        <a:xfrm>
          <a:off x="4038600" y="5130800"/>
          <a:ext cx="10922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Grand total</a:t>
          </a:r>
        </a:p>
      </xdr:txBody>
    </xdr:sp>
    <xdr:clientData/>
  </xdr:twoCellAnchor>
  <xdr:twoCellAnchor>
    <xdr:from>
      <xdr:col>5</xdr:col>
      <xdr:colOff>596900</xdr:colOff>
      <xdr:row>40</xdr:row>
      <xdr:rowOff>88900</xdr:rowOff>
    </xdr:from>
    <xdr:to>
      <xdr:col>11</xdr:col>
      <xdr:colOff>215900</xdr:colOff>
      <xdr:row>54</xdr:row>
      <xdr:rowOff>165100</xdr:rowOff>
    </xdr:to>
    <xdr:graphicFrame macro="">
      <xdr:nvGraphicFramePr>
        <xdr:cNvPr id="20" name="Chart 19">
          <a:extLst>
            <a:ext uri="{FF2B5EF4-FFF2-40B4-BE49-F238E27FC236}">
              <a16:creationId xmlns:a16="http://schemas.microsoft.com/office/drawing/2014/main" id="{4A6E174A-385F-B09C-B8D4-49B903EAB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xdr:colOff>
      <xdr:row>45</xdr:row>
      <xdr:rowOff>25400</xdr:rowOff>
    </xdr:from>
    <xdr:to>
      <xdr:col>11</xdr:col>
      <xdr:colOff>609600</xdr:colOff>
      <xdr:row>46</xdr:row>
      <xdr:rowOff>76200</xdr:rowOff>
    </xdr:to>
    <xdr:sp macro="" textlink="">
      <xdr:nvSpPr>
        <xdr:cNvPr id="21" name="TextBox 20">
          <a:extLst>
            <a:ext uri="{FF2B5EF4-FFF2-40B4-BE49-F238E27FC236}">
              <a16:creationId xmlns:a16="http://schemas.microsoft.com/office/drawing/2014/main" id="{D70955A2-58AF-F10F-AD01-53424946FAAA}"/>
            </a:ext>
          </a:extLst>
        </xdr:cNvPr>
        <xdr:cNvSpPr txBox="1"/>
      </xdr:nvSpPr>
      <xdr:spPr>
        <a:xfrm>
          <a:off x="8636000" y="8597900"/>
          <a:ext cx="14097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7</xdr:col>
      <xdr:colOff>685800</xdr:colOff>
      <xdr:row>55</xdr:row>
      <xdr:rowOff>25400</xdr:rowOff>
    </xdr:from>
    <xdr:to>
      <xdr:col>9</xdr:col>
      <xdr:colOff>152400</xdr:colOff>
      <xdr:row>56</xdr:row>
      <xdr:rowOff>88900</xdr:rowOff>
    </xdr:to>
    <xdr:sp macro="" textlink="">
      <xdr:nvSpPr>
        <xdr:cNvPr id="22" name="TextBox 21">
          <a:extLst>
            <a:ext uri="{FF2B5EF4-FFF2-40B4-BE49-F238E27FC236}">
              <a16:creationId xmlns:a16="http://schemas.microsoft.com/office/drawing/2014/main" id="{D3FB5BA2-E9E0-74BA-60BA-93F48BADAE93}"/>
            </a:ext>
          </a:extLst>
        </xdr:cNvPr>
        <xdr:cNvSpPr txBox="1"/>
      </xdr:nvSpPr>
      <xdr:spPr>
        <a:xfrm>
          <a:off x="6819900" y="10502900"/>
          <a:ext cx="11176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Age Bracket</a:t>
          </a:r>
        </a:p>
      </xdr:txBody>
    </xdr:sp>
    <xdr:clientData/>
  </xdr:twoCellAnchor>
  <xdr:twoCellAnchor>
    <xdr:from>
      <xdr:col>3</xdr:col>
      <xdr:colOff>127000</xdr:colOff>
      <xdr:row>49</xdr:row>
      <xdr:rowOff>0</xdr:rowOff>
    </xdr:from>
    <xdr:to>
      <xdr:col>5</xdr:col>
      <xdr:colOff>546100</xdr:colOff>
      <xdr:row>50</xdr:row>
      <xdr:rowOff>139700</xdr:rowOff>
    </xdr:to>
    <xdr:sp macro="" textlink="">
      <xdr:nvSpPr>
        <xdr:cNvPr id="23" name="TextBox 22">
          <a:extLst>
            <a:ext uri="{FF2B5EF4-FFF2-40B4-BE49-F238E27FC236}">
              <a16:creationId xmlns:a16="http://schemas.microsoft.com/office/drawing/2014/main" id="{43D4D565-F5DF-EAB1-9BFE-F6D7D3C14631}"/>
            </a:ext>
          </a:extLst>
        </xdr:cNvPr>
        <xdr:cNvSpPr txBox="1"/>
      </xdr:nvSpPr>
      <xdr:spPr>
        <a:xfrm>
          <a:off x="3022600" y="9334500"/>
          <a:ext cx="20066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Count of Purchased Bike</a:t>
          </a:r>
        </a:p>
      </xdr:txBody>
    </xdr:sp>
    <xdr:clientData/>
  </xdr:twoCellAnchor>
  <xdr:twoCellAnchor>
    <xdr:from>
      <xdr:col>7</xdr:col>
      <xdr:colOff>495300</xdr:colOff>
      <xdr:row>40</xdr:row>
      <xdr:rowOff>114300</xdr:rowOff>
    </xdr:from>
    <xdr:to>
      <xdr:col>9</xdr:col>
      <xdr:colOff>596900</xdr:colOff>
      <xdr:row>42</xdr:row>
      <xdr:rowOff>12700</xdr:rowOff>
    </xdr:to>
    <xdr:sp macro="" textlink="">
      <xdr:nvSpPr>
        <xdr:cNvPr id="24" name="TextBox 23">
          <a:extLst>
            <a:ext uri="{FF2B5EF4-FFF2-40B4-BE49-F238E27FC236}">
              <a16:creationId xmlns:a16="http://schemas.microsoft.com/office/drawing/2014/main" id="{ECA73EF4-2998-05A6-06DE-E5BB5EDD5780}"/>
            </a:ext>
          </a:extLst>
        </xdr:cNvPr>
        <xdr:cNvSpPr txBox="1"/>
      </xdr:nvSpPr>
      <xdr:spPr>
        <a:xfrm>
          <a:off x="6629400" y="7734300"/>
          <a:ext cx="17526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Customer Age Brackets</a:t>
          </a:r>
        </a:p>
      </xdr:txBody>
    </xdr:sp>
    <xdr:clientData/>
  </xdr:twoCellAnchor>
  <xdr:twoCellAnchor>
    <xdr:from>
      <xdr:col>5</xdr:col>
      <xdr:colOff>584200</xdr:colOff>
      <xdr:row>60</xdr:row>
      <xdr:rowOff>76200</xdr:rowOff>
    </xdr:from>
    <xdr:to>
      <xdr:col>11</xdr:col>
      <xdr:colOff>215900</xdr:colOff>
      <xdr:row>76</xdr:row>
      <xdr:rowOff>114300</xdr:rowOff>
    </xdr:to>
    <xdr:graphicFrame macro="">
      <xdr:nvGraphicFramePr>
        <xdr:cNvPr id="26" name="Chart 25">
          <a:extLst>
            <a:ext uri="{FF2B5EF4-FFF2-40B4-BE49-F238E27FC236}">
              <a16:creationId xmlns:a16="http://schemas.microsoft.com/office/drawing/2014/main" id="{D989A13A-D03F-BF24-146E-3F063E892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254000</xdr:colOff>
      <xdr:row>65</xdr:row>
      <xdr:rowOff>152400</xdr:rowOff>
    </xdr:from>
    <xdr:to>
      <xdr:col>11</xdr:col>
      <xdr:colOff>660400</xdr:colOff>
      <xdr:row>67</xdr:row>
      <xdr:rowOff>38100</xdr:rowOff>
    </xdr:to>
    <xdr:sp macro="" textlink="">
      <xdr:nvSpPr>
        <xdr:cNvPr id="27" name="TextBox 26">
          <a:extLst>
            <a:ext uri="{FF2B5EF4-FFF2-40B4-BE49-F238E27FC236}">
              <a16:creationId xmlns:a16="http://schemas.microsoft.com/office/drawing/2014/main" id="{3D7405C4-FBFF-0FE3-56C5-FBC9D8C79781}"/>
            </a:ext>
          </a:extLst>
        </xdr:cNvPr>
        <xdr:cNvSpPr txBox="1"/>
      </xdr:nvSpPr>
      <xdr:spPr>
        <a:xfrm>
          <a:off x="10172700" y="12534900"/>
          <a:ext cx="1231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7</xdr:col>
      <xdr:colOff>139700</xdr:colOff>
      <xdr:row>77</xdr:row>
      <xdr:rowOff>12700</xdr:rowOff>
    </xdr:from>
    <xdr:to>
      <xdr:col>8</xdr:col>
      <xdr:colOff>114300</xdr:colOff>
      <xdr:row>78</xdr:row>
      <xdr:rowOff>76200</xdr:rowOff>
    </xdr:to>
    <xdr:sp macro="" textlink="">
      <xdr:nvSpPr>
        <xdr:cNvPr id="28" name="TextBox 27">
          <a:extLst>
            <a:ext uri="{FF2B5EF4-FFF2-40B4-BE49-F238E27FC236}">
              <a16:creationId xmlns:a16="http://schemas.microsoft.com/office/drawing/2014/main" id="{15F48929-BEA3-EBD6-4263-76AC12B753CF}"/>
            </a:ext>
          </a:extLst>
        </xdr:cNvPr>
        <xdr:cNvSpPr txBox="1"/>
      </xdr:nvSpPr>
      <xdr:spPr>
        <a:xfrm>
          <a:off x="7581900" y="14681200"/>
          <a:ext cx="8001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7</xdr:row>
      <xdr:rowOff>38100</xdr:rowOff>
    </xdr:from>
    <xdr:to>
      <xdr:col>7</xdr:col>
      <xdr:colOff>679450</xdr:colOff>
      <xdr:row>23</xdr:row>
      <xdr:rowOff>152400</xdr:rowOff>
    </xdr:to>
    <xdr:graphicFrame macro="">
      <xdr:nvGraphicFramePr>
        <xdr:cNvPr id="2" name="Chart 1">
          <a:extLst>
            <a:ext uri="{FF2B5EF4-FFF2-40B4-BE49-F238E27FC236}">
              <a16:creationId xmlns:a16="http://schemas.microsoft.com/office/drawing/2014/main" id="{25562B4C-15A4-1A4D-9259-3AEBDAF5B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27</xdr:row>
      <xdr:rowOff>38100</xdr:rowOff>
    </xdr:from>
    <xdr:to>
      <xdr:col>14</xdr:col>
      <xdr:colOff>38100</xdr:colOff>
      <xdr:row>41</xdr:row>
      <xdr:rowOff>114300</xdr:rowOff>
    </xdr:to>
    <xdr:graphicFrame macro="">
      <xdr:nvGraphicFramePr>
        <xdr:cNvPr id="3" name="Chart 2">
          <a:extLst>
            <a:ext uri="{FF2B5EF4-FFF2-40B4-BE49-F238E27FC236}">
              <a16:creationId xmlns:a16="http://schemas.microsoft.com/office/drawing/2014/main" id="{14EDEB82-7BA1-A549-B456-C44F22D2C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711200</xdr:colOff>
      <xdr:row>7</xdr:row>
      <xdr:rowOff>50800</xdr:rowOff>
    </xdr:from>
    <xdr:to>
      <xdr:col>14</xdr:col>
      <xdr:colOff>25400</xdr:colOff>
      <xdr:row>23</xdr:row>
      <xdr:rowOff>139700</xdr:rowOff>
    </xdr:to>
    <xdr:graphicFrame macro="">
      <xdr:nvGraphicFramePr>
        <xdr:cNvPr id="4" name="Chart 3">
          <a:extLst>
            <a:ext uri="{FF2B5EF4-FFF2-40B4-BE49-F238E27FC236}">
              <a16:creationId xmlns:a16="http://schemas.microsoft.com/office/drawing/2014/main" id="{64DB5F07-D217-B941-BC33-5742E880A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368300</xdr:colOff>
      <xdr:row>7</xdr:row>
      <xdr:rowOff>177800</xdr:rowOff>
    </xdr:from>
    <xdr:to>
      <xdr:col>5</xdr:col>
      <xdr:colOff>355600</xdr:colOff>
      <xdr:row>9</xdr:row>
      <xdr:rowOff>76200</xdr:rowOff>
    </xdr:to>
    <xdr:sp macro="" textlink="">
      <xdr:nvSpPr>
        <xdr:cNvPr id="5" name="TextBox 4">
          <a:extLst>
            <a:ext uri="{FF2B5EF4-FFF2-40B4-BE49-F238E27FC236}">
              <a16:creationId xmlns:a16="http://schemas.microsoft.com/office/drawing/2014/main" id="{4391C036-2BA1-B4B3-7611-6D50FC596396}"/>
            </a:ext>
          </a:extLst>
        </xdr:cNvPr>
        <xdr:cNvSpPr txBox="1"/>
      </xdr:nvSpPr>
      <xdr:spPr>
        <a:xfrm>
          <a:off x="2019300" y="1511300"/>
          <a:ext cx="24638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Income Per Purchase</a:t>
          </a:r>
        </a:p>
      </xdr:txBody>
    </xdr:sp>
    <xdr:clientData/>
  </xdr:twoCellAnchor>
  <xdr:twoCellAnchor>
    <xdr:from>
      <xdr:col>6</xdr:col>
      <xdr:colOff>609600</xdr:colOff>
      <xdr:row>11</xdr:row>
      <xdr:rowOff>139700</xdr:rowOff>
    </xdr:from>
    <xdr:to>
      <xdr:col>7</xdr:col>
      <xdr:colOff>584200</xdr:colOff>
      <xdr:row>14</xdr:row>
      <xdr:rowOff>76200</xdr:rowOff>
    </xdr:to>
    <xdr:sp macro="" textlink="">
      <xdr:nvSpPr>
        <xdr:cNvPr id="7" name="TextBox 6">
          <a:extLst>
            <a:ext uri="{FF2B5EF4-FFF2-40B4-BE49-F238E27FC236}">
              <a16:creationId xmlns:a16="http://schemas.microsoft.com/office/drawing/2014/main" id="{11A623FF-084D-3109-80CD-BE6075AE56C3}"/>
            </a:ext>
          </a:extLst>
        </xdr:cNvPr>
        <xdr:cNvSpPr txBox="1"/>
      </xdr:nvSpPr>
      <xdr:spPr>
        <a:xfrm>
          <a:off x="5562600" y="2235200"/>
          <a:ext cx="8001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3</xdr:col>
      <xdr:colOff>63500</xdr:colOff>
      <xdr:row>24</xdr:row>
      <xdr:rowOff>25400</xdr:rowOff>
    </xdr:from>
    <xdr:to>
      <xdr:col>4</xdr:col>
      <xdr:colOff>469900</xdr:colOff>
      <xdr:row>25</xdr:row>
      <xdr:rowOff>152400</xdr:rowOff>
    </xdr:to>
    <xdr:sp macro="" textlink="">
      <xdr:nvSpPr>
        <xdr:cNvPr id="8" name="TextBox 7">
          <a:extLst>
            <a:ext uri="{FF2B5EF4-FFF2-40B4-BE49-F238E27FC236}">
              <a16:creationId xmlns:a16="http://schemas.microsoft.com/office/drawing/2014/main" id="{9860FBC3-3E8E-444F-195A-B39BB50BE521}"/>
            </a:ext>
          </a:extLst>
        </xdr:cNvPr>
        <xdr:cNvSpPr txBox="1"/>
      </xdr:nvSpPr>
      <xdr:spPr>
        <a:xfrm>
          <a:off x="2540000" y="4597400"/>
          <a:ext cx="12319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Gender</a:t>
          </a:r>
        </a:p>
      </xdr:txBody>
    </xdr:sp>
    <xdr:clientData/>
  </xdr:twoCellAnchor>
  <xdr:twoCellAnchor>
    <xdr:from>
      <xdr:col>9</xdr:col>
      <xdr:colOff>609600</xdr:colOff>
      <xdr:row>7</xdr:row>
      <xdr:rowOff>165100</xdr:rowOff>
    </xdr:from>
    <xdr:to>
      <xdr:col>12</xdr:col>
      <xdr:colOff>533400</xdr:colOff>
      <xdr:row>9</xdr:row>
      <xdr:rowOff>88900</xdr:rowOff>
    </xdr:to>
    <xdr:sp macro="" textlink="">
      <xdr:nvSpPr>
        <xdr:cNvPr id="9" name="TextBox 8">
          <a:extLst>
            <a:ext uri="{FF2B5EF4-FFF2-40B4-BE49-F238E27FC236}">
              <a16:creationId xmlns:a16="http://schemas.microsoft.com/office/drawing/2014/main" id="{3F7EAD91-D72E-66CF-8F8F-55EA2EAC1483}"/>
            </a:ext>
          </a:extLst>
        </xdr:cNvPr>
        <xdr:cNvSpPr txBox="1"/>
      </xdr:nvSpPr>
      <xdr:spPr>
        <a:xfrm>
          <a:off x="8039100" y="1498600"/>
          <a:ext cx="24003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Customer Age Brackets</a:t>
          </a:r>
        </a:p>
      </xdr:txBody>
    </xdr:sp>
    <xdr:clientData/>
  </xdr:twoCellAnchor>
  <xdr:twoCellAnchor>
    <xdr:from>
      <xdr:col>12</xdr:col>
      <xdr:colOff>762000</xdr:colOff>
      <xdr:row>11</xdr:row>
      <xdr:rowOff>127000</xdr:rowOff>
    </xdr:from>
    <xdr:to>
      <xdr:col>14</xdr:col>
      <xdr:colOff>12700</xdr:colOff>
      <xdr:row>14</xdr:row>
      <xdr:rowOff>0</xdr:rowOff>
    </xdr:to>
    <xdr:sp macro="" textlink="">
      <xdr:nvSpPr>
        <xdr:cNvPr id="11" name="TextBox 10">
          <a:extLst>
            <a:ext uri="{FF2B5EF4-FFF2-40B4-BE49-F238E27FC236}">
              <a16:creationId xmlns:a16="http://schemas.microsoft.com/office/drawing/2014/main" id="{86519D75-A855-5DCF-BE0C-C4D82B212F76}"/>
            </a:ext>
          </a:extLst>
        </xdr:cNvPr>
        <xdr:cNvSpPr txBox="1"/>
      </xdr:nvSpPr>
      <xdr:spPr>
        <a:xfrm>
          <a:off x="10668000" y="2222500"/>
          <a:ext cx="9017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a:t>
          </a:r>
          <a:r>
            <a:rPr lang="en-US" sz="1100" b="1" baseline="0"/>
            <a:t> Bike</a:t>
          </a:r>
          <a:endParaRPr lang="en-US" sz="1100" b="1"/>
        </a:p>
      </xdr:txBody>
    </xdr:sp>
    <xdr:clientData/>
  </xdr:twoCellAnchor>
  <xdr:twoCellAnchor>
    <xdr:from>
      <xdr:col>10</xdr:col>
      <xdr:colOff>368300</xdr:colOff>
      <xdr:row>24</xdr:row>
      <xdr:rowOff>12700</xdr:rowOff>
    </xdr:from>
    <xdr:to>
      <xdr:col>11</xdr:col>
      <xdr:colOff>647700</xdr:colOff>
      <xdr:row>25</xdr:row>
      <xdr:rowOff>139700</xdr:rowOff>
    </xdr:to>
    <xdr:sp macro="" textlink="">
      <xdr:nvSpPr>
        <xdr:cNvPr id="12" name="TextBox 11">
          <a:extLst>
            <a:ext uri="{FF2B5EF4-FFF2-40B4-BE49-F238E27FC236}">
              <a16:creationId xmlns:a16="http://schemas.microsoft.com/office/drawing/2014/main" id="{B063FDB4-2A31-0C35-699B-3111DA5865D7}"/>
            </a:ext>
          </a:extLst>
        </xdr:cNvPr>
        <xdr:cNvSpPr txBox="1"/>
      </xdr:nvSpPr>
      <xdr:spPr>
        <a:xfrm>
          <a:off x="8623300" y="4584700"/>
          <a:ext cx="11049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Age Bracket</a:t>
          </a:r>
        </a:p>
      </xdr:txBody>
    </xdr:sp>
    <xdr:clientData/>
  </xdr:twoCellAnchor>
  <xdr:twoCellAnchor>
    <xdr:from>
      <xdr:col>12</xdr:col>
      <xdr:colOff>698500</xdr:colOff>
      <xdr:row>30</xdr:row>
      <xdr:rowOff>114300</xdr:rowOff>
    </xdr:from>
    <xdr:to>
      <xdr:col>14</xdr:col>
      <xdr:colOff>12700</xdr:colOff>
      <xdr:row>33</xdr:row>
      <xdr:rowOff>12700</xdr:rowOff>
    </xdr:to>
    <xdr:sp macro="" textlink="">
      <xdr:nvSpPr>
        <xdr:cNvPr id="13" name="TextBox 12">
          <a:extLst>
            <a:ext uri="{FF2B5EF4-FFF2-40B4-BE49-F238E27FC236}">
              <a16:creationId xmlns:a16="http://schemas.microsoft.com/office/drawing/2014/main" id="{B8C8F679-C0B9-4615-817E-C265DFB15177}"/>
            </a:ext>
          </a:extLst>
        </xdr:cNvPr>
        <xdr:cNvSpPr txBox="1"/>
      </xdr:nvSpPr>
      <xdr:spPr>
        <a:xfrm>
          <a:off x="10604500" y="5829300"/>
          <a:ext cx="9652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Purchased Bike</a:t>
          </a:r>
        </a:p>
      </xdr:txBody>
    </xdr:sp>
    <xdr:clientData/>
  </xdr:twoCellAnchor>
  <xdr:twoCellAnchor>
    <xdr:from>
      <xdr:col>6</xdr:col>
      <xdr:colOff>88900</xdr:colOff>
      <xdr:row>27</xdr:row>
      <xdr:rowOff>114300</xdr:rowOff>
    </xdr:from>
    <xdr:to>
      <xdr:col>8</xdr:col>
      <xdr:colOff>76200</xdr:colOff>
      <xdr:row>29</xdr:row>
      <xdr:rowOff>63500</xdr:rowOff>
    </xdr:to>
    <xdr:sp macro="" textlink="">
      <xdr:nvSpPr>
        <xdr:cNvPr id="14" name="TextBox 13">
          <a:extLst>
            <a:ext uri="{FF2B5EF4-FFF2-40B4-BE49-F238E27FC236}">
              <a16:creationId xmlns:a16="http://schemas.microsoft.com/office/drawing/2014/main" id="{829B6C05-3128-FD73-70DE-346AD2CBBD2F}"/>
            </a:ext>
          </a:extLst>
        </xdr:cNvPr>
        <xdr:cNvSpPr txBox="1"/>
      </xdr:nvSpPr>
      <xdr:spPr>
        <a:xfrm>
          <a:off x="5041900" y="5257800"/>
          <a:ext cx="16383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Customer</a:t>
          </a:r>
          <a:r>
            <a:rPr lang="en-US" sz="1100" b="1" baseline="0"/>
            <a:t> Commute</a:t>
          </a:r>
          <a:endParaRPr lang="en-US" sz="1100" b="1"/>
        </a:p>
      </xdr:txBody>
    </xdr:sp>
    <xdr:clientData/>
  </xdr:twoCellAnchor>
  <xdr:twoCellAnchor>
    <xdr:from>
      <xdr:col>6</xdr:col>
      <xdr:colOff>50800</xdr:colOff>
      <xdr:row>41</xdr:row>
      <xdr:rowOff>177800</xdr:rowOff>
    </xdr:from>
    <xdr:to>
      <xdr:col>7</xdr:col>
      <xdr:colOff>698500</xdr:colOff>
      <xdr:row>43</xdr:row>
      <xdr:rowOff>127000</xdr:rowOff>
    </xdr:to>
    <xdr:sp macro="" textlink="">
      <xdr:nvSpPr>
        <xdr:cNvPr id="15" name="TextBox 14">
          <a:extLst>
            <a:ext uri="{FF2B5EF4-FFF2-40B4-BE49-F238E27FC236}">
              <a16:creationId xmlns:a16="http://schemas.microsoft.com/office/drawing/2014/main" id="{361D35A5-4879-E778-95EB-F9B9502672DC}"/>
            </a:ext>
          </a:extLst>
        </xdr:cNvPr>
        <xdr:cNvSpPr txBox="1"/>
      </xdr:nvSpPr>
      <xdr:spPr>
        <a:xfrm>
          <a:off x="5003800" y="7988300"/>
          <a:ext cx="14732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Distance</a:t>
          </a:r>
        </a:p>
      </xdr:txBody>
    </xdr:sp>
    <xdr:clientData/>
  </xdr:twoCellAnchor>
  <xdr:twoCellAnchor editAs="oneCell">
    <xdr:from>
      <xdr:col>14</xdr:col>
      <xdr:colOff>393700</xdr:colOff>
      <xdr:row>13</xdr:row>
      <xdr:rowOff>60331</xdr:rowOff>
    </xdr:from>
    <xdr:to>
      <xdr:col>16</xdr:col>
      <xdr:colOff>571500</xdr:colOff>
      <xdr:row>18</xdr:row>
      <xdr:rowOff>12700</xdr:rowOff>
    </xdr:to>
    <mc:AlternateContent xmlns:mc="http://schemas.openxmlformats.org/markup-compatibility/2006" xmlns:a14="http://schemas.microsoft.com/office/drawing/2010/main">
      <mc:Choice Requires="a14">
        <xdr:graphicFrame macro="">
          <xdr:nvGraphicFramePr>
            <xdr:cNvPr id="16" name="Marital Status">
              <a:extLst>
                <a:ext uri="{FF2B5EF4-FFF2-40B4-BE49-F238E27FC236}">
                  <a16:creationId xmlns:a16="http://schemas.microsoft.com/office/drawing/2014/main" id="{CE5B4379-6B44-0B6F-FA0F-254C1B92C0A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950700" y="2536831"/>
              <a:ext cx="1828800" cy="904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393700</xdr:colOff>
      <xdr:row>26</xdr:row>
      <xdr:rowOff>165100</xdr:rowOff>
    </xdr:from>
    <xdr:to>
      <xdr:col>16</xdr:col>
      <xdr:colOff>571500</xdr:colOff>
      <xdr:row>35</xdr:row>
      <xdr:rowOff>152400</xdr:rowOff>
    </xdr:to>
    <mc:AlternateContent xmlns:mc="http://schemas.openxmlformats.org/markup-compatibility/2006" xmlns:a14="http://schemas.microsoft.com/office/drawing/2010/main">
      <mc:Choice Requires="a14">
        <xdr:graphicFrame macro="">
          <xdr:nvGraphicFramePr>
            <xdr:cNvPr id="17" name="Education">
              <a:extLst>
                <a:ext uri="{FF2B5EF4-FFF2-40B4-BE49-F238E27FC236}">
                  <a16:creationId xmlns:a16="http://schemas.microsoft.com/office/drawing/2014/main" id="{0C6B35BA-3FDE-E8E9-7633-A46D2E8106E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950700" y="5118100"/>
              <a:ext cx="1828800" cy="170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393700</xdr:colOff>
      <xdr:row>19</xdr:row>
      <xdr:rowOff>34931</xdr:rowOff>
    </xdr:from>
    <xdr:to>
      <xdr:col>16</xdr:col>
      <xdr:colOff>571500</xdr:colOff>
      <xdr:row>25</xdr:row>
      <xdr:rowOff>101600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83130473-582E-6E25-E453-55E5A9FFE6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50700" y="3654431"/>
              <a:ext cx="1828800" cy="1209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bi Rafat" refreshedDate="46084.988234722223" createdVersion="8" refreshedVersion="8" minRefreshableVersion="3" recordCount="1000" xr:uid="{FFBDEE9E-AF34-9F4B-B613-E7C61E0E8A4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Invali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012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2"/>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2"/>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2"/>
    <x v="0"/>
  </r>
  <r>
    <n v="26941"/>
    <x v="0"/>
    <x v="1"/>
    <n v="30000"/>
    <n v="0"/>
    <x v="0"/>
    <s v="Clerical"/>
    <s v="Yes"/>
    <n v="0"/>
    <x v="0"/>
    <x v="0"/>
    <x v="15"/>
    <x v="0"/>
    <x v="1"/>
  </r>
  <r>
    <n v="28412"/>
    <x v="1"/>
    <x v="1"/>
    <n v="20000"/>
    <n v="0"/>
    <x v="2"/>
    <s v="Manual"/>
    <s v="No"/>
    <n v="1"/>
    <x v="1"/>
    <x v="0"/>
    <x v="19"/>
    <x v="3"/>
    <x v="0"/>
  </r>
  <r>
    <n v="24485"/>
    <x v="1"/>
    <x v="1"/>
    <n v="40000"/>
    <n v="2"/>
    <x v="0"/>
    <s v="Management"/>
    <s v="No"/>
    <n v="1"/>
    <x v="2"/>
    <x v="1"/>
    <x v="31"/>
    <x v="0"/>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3"/>
    <x v="0"/>
  </r>
  <r>
    <n v="25458"/>
    <x v="0"/>
    <x v="1"/>
    <n v="20000"/>
    <n v="1"/>
    <x v="2"/>
    <s v="Manual"/>
    <s v="No"/>
    <n v="1"/>
    <x v="3"/>
    <x v="0"/>
    <x v="8"/>
    <x v="2"/>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2"/>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2"/>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2"/>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2"/>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2"/>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2"/>
    <x v="1"/>
  </r>
  <r>
    <n v="24279"/>
    <x v="1"/>
    <x v="1"/>
    <n v="40000"/>
    <n v="2"/>
    <x v="1"/>
    <s v="Skilled Manual"/>
    <s v="No"/>
    <n v="2"/>
    <x v="3"/>
    <x v="1"/>
    <x v="31"/>
    <x v="2"/>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2"/>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2"/>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2"/>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2"/>
    <x v="1"/>
  </r>
  <r>
    <n v="25026"/>
    <x v="0"/>
    <x v="1"/>
    <n v="20000"/>
    <n v="2"/>
    <x v="3"/>
    <s v="Clerical"/>
    <s v="Yes"/>
    <n v="3"/>
    <x v="2"/>
    <x v="1"/>
    <x v="9"/>
    <x v="0"/>
    <x v="0"/>
  </r>
  <r>
    <n v="13673"/>
    <x v="1"/>
    <x v="0"/>
    <n v="20000"/>
    <n v="0"/>
    <x v="3"/>
    <s v="Manual"/>
    <s v="No"/>
    <n v="2"/>
    <x v="0"/>
    <x v="0"/>
    <x v="37"/>
    <x v="3"/>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2"/>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3"/>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2"/>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2"/>
    <x v="1"/>
  </r>
  <r>
    <n v="12231"/>
    <x v="1"/>
    <x v="0"/>
    <n v="10000"/>
    <n v="2"/>
    <x v="1"/>
    <s v="Manual"/>
    <s v="Yes"/>
    <n v="0"/>
    <x v="0"/>
    <x v="0"/>
    <x v="36"/>
    <x v="0"/>
    <x v="1"/>
  </r>
  <r>
    <n v="25665"/>
    <x v="1"/>
    <x v="0"/>
    <n v="20000"/>
    <n v="0"/>
    <x v="2"/>
    <s v="Manual"/>
    <s v="No"/>
    <n v="1"/>
    <x v="3"/>
    <x v="0"/>
    <x v="26"/>
    <x v="3"/>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2"/>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2"/>
    <x v="1"/>
  </r>
  <r>
    <n v="23915"/>
    <x v="0"/>
    <x v="1"/>
    <n v="20000"/>
    <n v="2"/>
    <x v="2"/>
    <s v="Manual"/>
    <s v="Yes"/>
    <n v="2"/>
    <x v="0"/>
    <x v="0"/>
    <x v="0"/>
    <x v="2"/>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3"/>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2"/>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2"/>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0"/>
    <x v="0"/>
  </r>
  <r>
    <n v="28488"/>
    <x v="1"/>
    <x v="1"/>
    <n v="20000"/>
    <n v="0"/>
    <x v="1"/>
    <s v="Manual"/>
    <s v="Yes"/>
    <n v="0"/>
    <x v="0"/>
    <x v="1"/>
    <x v="26"/>
    <x v="3"/>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2"/>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2"/>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2"/>
    <x v="0"/>
  </r>
  <r>
    <n v="11641"/>
    <x v="0"/>
    <x v="1"/>
    <n v="50000"/>
    <n v="1"/>
    <x v="0"/>
    <s v="Skilled Manual"/>
    <s v="Yes"/>
    <n v="0"/>
    <x v="0"/>
    <x v="2"/>
    <x v="4"/>
    <x v="0"/>
    <x v="0"/>
  </r>
  <r>
    <n v="11935"/>
    <x v="1"/>
    <x v="0"/>
    <n v="30000"/>
    <n v="0"/>
    <x v="1"/>
    <s v="Skilled Manual"/>
    <s v="Yes"/>
    <n v="1"/>
    <x v="2"/>
    <x v="2"/>
    <x v="26"/>
    <x v="3"/>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2"/>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2"/>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2"/>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2"/>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2"/>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0"/>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2"/>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2"/>
    <x v="1"/>
  </r>
  <r>
    <n v="12774"/>
    <x v="0"/>
    <x v="0"/>
    <n v="40000"/>
    <n v="1"/>
    <x v="1"/>
    <s v="Clerical"/>
    <s v="Yes"/>
    <n v="1"/>
    <x v="3"/>
    <x v="2"/>
    <x v="36"/>
    <x v="2"/>
    <x v="1"/>
  </r>
  <r>
    <n v="18910"/>
    <x v="1"/>
    <x v="1"/>
    <n v="30000"/>
    <n v="0"/>
    <x v="1"/>
    <s v="Skilled Manual"/>
    <s v="Yes"/>
    <n v="2"/>
    <x v="2"/>
    <x v="2"/>
    <x v="25"/>
    <x v="3"/>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2"/>
    <x v="1"/>
  </r>
  <r>
    <n v="18390"/>
    <x v="0"/>
    <x v="1"/>
    <n v="80000"/>
    <n v="5"/>
    <x v="1"/>
    <s v="Professional"/>
    <s v="Yes"/>
    <n v="2"/>
    <x v="0"/>
    <x v="2"/>
    <x v="20"/>
    <x v="2"/>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2"/>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2"/>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2"/>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2"/>
    <x v="1"/>
  </r>
  <r>
    <n v="11225"/>
    <x v="0"/>
    <x v="0"/>
    <n v="60000"/>
    <n v="2"/>
    <x v="1"/>
    <s v="Professional"/>
    <s v="Yes"/>
    <n v="1"/>
    <x v="4"/>
    <x v="2"/>
    <x v="10"/>
    <x v="0"/>
    <x v="0"/>
  </r>
  <r>
    <n v="17657"/>
    <x v="0"/>
    <x v="1"/>
    <n v="40000"/>
    <n v="4"/>
    <x v="1"/>
    <s v="Clerical"/>
    <s v="No"/>
    <n v="0"/>
    <x v="0"/>
    <x v="2"/>
    <x v="25"/>
    <x v="3"/>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2"/>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2"/>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2"/>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2"/>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2"/>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2"/>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2"/>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2"/>
    <x v="1"/>
  </r>
  <r>
    <n v="17012"/>
    <x v="0"/>
    <x v="0"/>
    <n v="60000"/>
    <n v="3"/>
    <x v="4"/>
    <s v="Professional"/>
    <s v="Yes"/>
    <n v="0"/>
    <x v="1"/>
    <x v="2"/>
    <x v="0"/>
    <x v="2"/>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2"/>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2"/>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2"/>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D4333-52DC-D040-A7F4-2A978CAF7E4F}"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8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3"/>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1DBC5-DC64-D846-BB60-5A35F818677A}"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38F35B-36CB-8749-A84F-F51A8B10A733}"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6">
        <item x="0"/>
        <item x="3"/>
        <item x="4"/>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6037F-FE57-0449-AE44-739BEBD86B79}"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5">
    <format dxfId="4">
      <pivotArea collapsedLevelsAreSubtotals="1" fieldPosition="0">
        <references count="2">
          <reference field="2" count="1">
            <x v="0"/>
          </reference>
          <reference field="13" count="1" selected="0">
            <x v="1"/>
          </reference>
        </references>
      </pivotArea>
    </format>
    <format dxfId="3">
      <pivotArea collapsedLevelsAreSubtotals="1" fieldPosition="0">
        <references count="2">
          <reference field="2" count="1">
            <x v="1"/>
          </reference>
          <reference field="13" count="1" selected="0">
            <x v="0"/>
          </reference>
        </references>
      </pivotArea>
    </format>
    <format dxfId="2">
      <pivotArea collapsedLevelsAreSubtotals="1" fieldPosition="0">
        <references count="2">
          <reference field="2" count="1">
            <x v="1"/>
          </reference>
          <reference field="13" count="1" selected="0">
            <x v="1"/>
          </reference>
        </references>
      </pivotArea>
    </format>
    <format dxfId="1">
      <pivotArea field="2" grandCol="1" collapsedLevelsAreSubtotals="1" axis="axisRow" fieldPosition="0">
        <references count="1">
          <reference field="2" count="1">
            <x v="0"/>
          </reference>
        </references>
      </pivotArea>
    </format>
    <format dxfId="0">
      <pivotArea field="2" grandCol="1" collapsedLevelsAreSubtotals="1" axis="axisRow" fieldPosition="0">
        <references count="1">
          <reference field="2" count="1">
            <x v="1"/>
          </reference>
        </references>
      </pivotArea>
    </format>
  </format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E8FDAF1-DA2C-4B45-8057-EE13BB46F711}" sourceName="Marital Status">
  <pivotTables>
    <pivotTable tabId="3" name="PivotTable1"/>
    <pivotTable tabId="3" name="PivotTable2"/>
    <pivotTable tabId="3" name="PivotTable3"/>
    <pivotTable tabId="3" name="PivotTable4"/>
  </pivotTables>
  <data>
    <tabular pivotCacheId="830121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F04EC4-BD7C-C54B-ABF0-F2ABA46D5930}" sourceName="Education">
  <pivotTables>
    <pivotTable tabId="3" name="PivotTable1"/>
    <pivotTable tabId="3" name="PivotTable2"/>
    <pivotTable tabId="3" name="PivotTable3"/>
    <pivotTable tabId="3" name="PivotTable4"/>
  </pivotTables>
  <data>
    <tabular pivotCacheId="8301219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8E979B-4474-2241-AAC7-474C5F5C76B1}" sourceName="Region">
  <pivotTables>
    <pivotTable tabId="3" name="PivotTable1"/>
    <pivotTable tabId="3" name="PivotTable2"/>
    <pivotTable tabId="3" name="PivotTable3"/>
    <pivotTable tabId="3" name="PivotTable4"/>
  </pivotTables>
  <data>
    <tabular pivotCacheId="8301219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1645E1C-6CC4-0E4A-9B0A-2D21C196B5F5}" cache="Slicer_Marital_Status" caption="Marital Status" rowHeight="230716"/>
  <slicer name="Education" xr10:uid="{DB057A8E-D9E5-4847-869C-C3E5B0B030A6}" cache="Slicer_Education" caption="Education" rowHeight="230716"/>
  <slicer name="Region" xr10:uid="{B0F0A052-CD2B-4846-A0C2-41858A3DFA1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B7C1-192F-2D47-837C-B8996543BFFD}">
  <dimension ref="A1:N1001"/>
  <sheetViews>
    <sheetView workbookViewId="0">
      <selection activeCell="M2" sqref="M2"/>
    </sheetView>
  </sheetViews>
  <sheetFormatPr baseColWidth="10" defaultColWidth="11.83203125" defaultRowHeight="15" x14ac:dyDescent="0.2"/>
  <cols>
    <col min="4" max="4" width="11.83203125" style="3"/>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IF(L2&gt;55, "Old", IF(L4&gt;=31, "Middle Age", IF(L2&lt;31, "Adolescent", "Invalid")))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IF(L3&gt;55, "Old", IF(L5&gt;=31, "Middle Age", IF(L3&lt;31, "Adolescent", "Invalid")))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Invalid</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Middle Age</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Invalid</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Middle Age</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Invalid</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Invalid</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Middle Age</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Middle Age</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Invalid</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Middle Age</v>
      </c>
      <c r="N52" t="s">
        <v>18</v>
      </c>
    </row>
    <row r="53" spans="1:14" x14ac:dyDescent="0.2">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IF(L67&gt;55, "Old", IF(L69&gt;=31, "Middle Age", IF(L67&lt;31, "Adolescent", "Invalid")))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Invalid</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Middle Age</v>
      </c>
      <c r="N71" t="s">
        <v>18</v>
      </c>
    </row>
    <row r="72" spans="1:14" x14ac:dyDescent="0.2">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Invalid</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Middle Age</v>
      </c>
      <c r="N78" t="s">
        <v>18</v>
      </c>
    </row>
    <row r="79" spans="1:14" x14ac:dyDescent="0.2">
      <c r="A79">
        <v>27969</v>
      </c>
      <c r="B79" t="s">
        <v>36</v>
      </c>
      <c r="C79" t="s">
        <v>39</v>
      </c>
      <c r="D79" s="3">
        <v>80000</v>
      </c>
      <c r="E79">
        <v>0</v>
      </c>
      <c r="F79" t="s">
        <v>13</v>
      </c>
      <c r="G79" t="s">
        <v>21</v>
      </c>
      <c r="H79" t="s">
        <v>15</v>
      </c>
      <c r="I79">
        <v>2</v>
      </c>
      <c r="J79" t="s">
        <v>30</v>
      </c>
      <c r="K79" t="s">
        <v>24</v>
      </c>
      <c r="L79">
        <v>29</v>
      </c>
      <c r="M79" t="str">
        <f t="shared" si="1"/>
        <v>Middle Age</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Invalid</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Middle Age</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Invalid</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Invalid</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Middle Age</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Middle Age</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Invalid</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Middle Age</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Invalid</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Middle Age</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Invalid</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Invalid</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Middle Age</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Middle Age</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Invalid</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Middle Age</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IF(L131&gt;55, "Old", IF(L133&gt;=31, "Middle Age", IF(L131&lt;31, "Adolescent", "Invalid")))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Middle Age</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Invalid</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Middle Age</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Invalid</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Invalid</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Middle Age</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Middle Age</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Middle Age</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Invalid</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Middle Age</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30</v>
      </c>
      <c r="K180" t="s">
        <v>17</v>
      </c>
      <c r="L180">
        <v>55</v>
      </c>
      <c r="M180" t="str">
        <f t="shared" si="2"/>
        <v>Middle Age</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30</v>
      </c>
      <c r="K195" t="s">
        <v>24</v>
      </c>
      <c r="L195">
        <v>41</v>
      </c>
      <c r="M195" t="str">
        <f t="shared" ref="M195:M258" si="3">IF(L195&gt;55, "Old", IF(L197&gt;=31, "Middle Age", IF(L195&lt;31, "Adolescent", "Invalid")))</f>
        <v>Invalid</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Middle Age</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30</v>
      </c>
      <c r="K201" t="s">
        <v>24</v>
      </c>
      <c r="L201">
        <v>33</v>
      </c>
      <c r="M201" t="str">
        <f t="shared" si="3"/>
        <v>Invalid</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Middle Age</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Invalid</v>
      </c>
      <c r="N207" t="s">
        <v>15</v>
      </c>
    </row>
    <row r="208" spans="1:14" x14ac:dyDescent="0.2">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Middle Age</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Invalid</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Middle Age</v>
      </c>
      <c r="N214" t="s">
        <v>18</v>
      </c>
    </row>
    <row r="215" spans="1:14" x14ac:dyDescent="0.2">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Invalid</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Middle Age</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Invalid</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Middle Age</v>
      </c>
      <c r="N235" t="s">
        <v>15</v>
      </c>
    </row>
    <row r="236" spans="1:14" x14ac:dyDescent="0.2">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Middle Age</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Invalid</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Middle Age</v>
      </c>
      <c r="N245" t="s">
        <v>18</v>
      </c>
    </row>
    <row r="246" spans="1:14" x14ac:dyDescent="0.2">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IF(L259&gt;55, "Old", IF(L261&gt;=31, "Middle Age", IF(L259&lt;31, "Adolescent", "Invalid")))</f>
        <v>Middle Age</v>
      </c>
      <c r="N259" t="s">
        <v>15</v>
      </c>
    </row>
    <row r="260" spans="1:14" x14ac:dyDescent="0.2">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Invalid</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Middle Age</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Invalid</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Middle Age</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Middle Age</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IF(L323&gt;55, "Old", IF(L325&gt;=31, "Middle Age", IF(L323&lt;31, "Adolescent", "Invalid")))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Invalid</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Middle Age</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Middle Age</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Invalid</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Middle Age</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Invalid</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Invalid</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Middle Age</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Middle Age</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Invalid</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Middle Age</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Invalid</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Middle Age</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30</v>
      </c>
      <c r="K382" t="s">
        <v>24</v>
      </c>
      <c r="L382">
        <v>30</v>
      </c>
      <c r="M382" t="str">
        <f t="shared" si="5"/>
        <v>Middle Age</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30</v>
      </c>
      <c r="K384" t="s">
        <v>17</v>
      </c>
      <c r="L384">
        <v>53</v>
      </c>
      <c r="M384" t="str">
        <f t="shared" si="5"/>
        <v>Invalid</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Middle Age</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IF(L387&gt;55, "Old", IF(L389&gt;=31, "Middle Age", IF(L387&lt;31, "Adolescent", "Invalid")))</f>
        <v>Middle Age</v>
      </c>
      <c r="N387" t="s">
        <v>18</v>
      </c>
    </row>
    <row r="388" spans="1:14" x14ac:dyDescent="0.2">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Invalid</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Middle Age</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Invalid</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Middle Age</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Middle Age</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IF(L451&gt;55, "Old", IF(L453&gt;=31, "Middle Age", IF(L451&lt;31, "Adolescent", "Invalid")))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Invalid</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Middle Age</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Invalid</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Middle Age</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Invalid</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Middle Age</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30</v>
      </c>
      <c r="K515" t="s">
        <v>32</v>
      </c>
      <c r="L515">
        <v>61</v>
      </c>
      <c r="M515" t="str">
        <f t="shared" ref="M515:M578" si="8">IF(L515&gt;55, "Old", IF(L517&gt;=31, "Middle Age", IF(L515&lt;31, "Adolescent", "Invalid")))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Invalid</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Middle Age</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Middle Age</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Invalid</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Middle Age</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Invalid</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Middle Age</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Invalid</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Invalid</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Middle Age</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Middle Age</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Invalid</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Middle Age</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IF(L579&gt;55, "Old", IF(L581&gt;=31, "Middle Age", IF(L579&lt;31, "Adolescent", "Invalid")))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Invalid</v>
      </c>
      <c r="N581" t="s">
        <v>18</v>
      </c>
    </row>
    <row r="582" spans="1:14" x14ac:dyDescent="0.2">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Middle Age</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Invalid</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Middle Age</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Invalid</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Middle Age</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Invalid</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Middle Age</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Invalid</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Middle Age</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Invalid</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Middle Age</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Invalid</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Middle Age</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30</v>
      </c>
      <c r="K643" t="s">
        <v>32</v>
      </c>
      <c r="L643">
        <v>64</v>
      </c>
      <c r="M643" t="str">
        <f t="shared" ref="M643:M706" si="10">IF(L643&gt;55, "Old", IF(L645&gt;=31, "Middle Age", IF(L643&lt;31, "Adolescent", "Invalid")))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Middle Age</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Middle Age</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Invalid</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Invalid</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Middle Age</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Middle Age</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Invalid</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Invalid</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Middle Age</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Middle Age</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Invalid</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Middle Age</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30</v>
      </c>
      <c r="K707" t="s">
        <v>32</v>
      </c>
      <c r="L707">
        <v>59</v>
      </c>
      <c r="M707" t="str">
        <f t="shared" ref="M707:M770" si="11">IF(L707&gt;55, "Old", IF(L709&gt;=31, "Middle Age", IF(L707&lt;31, "Adolescent", "Invalid")))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Middle Age</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Invalid</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Middle Age</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Invalid</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Middle Age</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Invalid</v>
      </c>
      <c r="N740" t="s">
        <v>15</v>
      </c>
    </row>
    <row r="741" spans="1:14" x14ac:dyDescent="0.2">
      <c r="A741">
        <v>11225</v>
      </c>
      <c r="B741" t="s">
        <v>36</v>
      </c>
      <c r="C741" t="s">
        <v>38</v>
      </c>
      <c r="D741" s="3">
        <v>60000</v>
      </c>
      <c r="E741">
        <v>2</v>
      </c>
      <c r="F741" t="s">
        <v>19</v>
      </c>
      <c r="G741" t="s">
        <v>21</v>
      </c>
      <c r="H741" t="s">
        <v>15</v>
      </c>
      <c r="I741">
        <v>1</v>
      </c>
      <c r="J741" t="s">
        <v>30</v>
      </c>
      <c r="K741" t="s">
        <v>32</v>
      </c>
      <c r="L741">
        <v>55</v>
      </c>
      <c r="M741" t="str">
        <f t="shared" si="11"/>
        <v>Middle Age</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Middle Age</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Invalid</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Middle Age</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Invalid</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Middle Age</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IF(L771&gt;55, "Old", IF(L773&gt;=31, "Middle Age", IF(L771&lt;31, "Adolescent", "Invalid")))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30</v>
      </c>
      <c r="K777" t="s">
        <v>32</v>
      </c>
      <c r="L777">
        <v>54</v>
      </c>
      <c r="M777" t="str">
        <f t="shared" si="12"/>
        <v>Invalid</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Middle Age</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30</v>
      </c>
      <c r="K782" t="s">
        <v>32</v>
      </c>
      <c r="L782">
        <v>55</v>
      </c>
      <c r="M782" t="str">
        <f t="shared" si="12"/>
        <v>Middle Age</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Invalid</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Middle Age</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Invalid</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Middle Age</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Invalid</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Middle Age</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Middle Age</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Invalid</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Middle Age</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Middle Age</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30</v>
      </c>
      <c r="K815" t="s">
        <v>32</v>
      </c>
      <c r="L815">
        <v>53</v>
      </c>
      <c r="M815" t="str">
        <f t="shared" si="12"/>
        <v>Invalid</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Middle Age</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Invalid</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Invalid</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Middle Age</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Middle Age</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Invalid</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Middle Age</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IF(L835&gt;55, "Old", IF(L837&gt;=31, "Middle Age", IF(L835&lt;31, "Adolescent", "Invalid")))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Invalid</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Middle Age</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Invalid</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Middle Age</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Invalid</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Middle Age</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30</v>
      </c>
      <c r="K868" t="s">
        <v>32</v>
      </c>
      <c r="L868">
        <v>55</v>
      </c>
      <c r="M868" t="str">
        <f t="shared" si="13"/>
        <v>Middle Age</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30</v>
      </c>
      <c r="K873" t="s">
        <v>32</v>
      </c>
      <c r="L873">
        <v>55</v>
      </c>
      <c r="M873" t="str">
        <f t="shared" si="13"/>
        <v>Middle Age</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Invalid</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Middle Age</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IF(L899&gt;55, "Old", IF(L901&gt;=31, "Middle Age", IF(L899&lt;31, "Adolescent", "Invalid")))</f>
        <v>Middle Age</v>
      </c>
      <c r="N899" t="s">
        <v>18</v>
      </c>
    </row>
    <row r="900" spans="1:14" x14ac:dyDescent="0.2">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30</v>
      </c>
      <c r="K932" t="s">
        <v>32</v>
      </c>
      <c r="L932">
        <v>47</v>
      </c>
      <c r="M932" t="str">
        <f t="shared" si="14"/>
        <v>Invalid</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Invalid</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Middle Age</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Middle Age</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Middle Age</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Invalid</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Middle Age</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Invalid</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Middle Age</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IF(L963&gt;55, "Old", IF(L965&gt;=31, "Middle Age", IF(L963&lt;31, "Adolescent", "Invalid")))</f>
        <v>Old</v>
      </c>
      <c r="N963" t="s">
        <v>18</v>
      </c>
    </row>
    <row r="964" spans="1:14" x14ac:dyDescent="0.2">
      <c r="A964">
        <v>16813</v>
      </c>
      <c r="B964" t="s">
        <v>36</v>
      </c>
      <c r="C964" t="s">
        <v>39</v>
      </c>
      <c r="D964" s="3">
        <v>60000</v>
      </c>
      <c r="E964">
        <v>2</v>
      </c>
      <c r="F964" t="s">
        <v>19</v>
      </c>
      <c r="G964" t="s">
        <v>21</v>
      </c>
      <c r="H964" t="s">
        <v>15</v>
      </c>
      <c r="I964">
        <v>2</v>
      </c>
      <c r="J964" t="s">
        <v>30</v>
      </c>
      <c r="K964" t="s">
        <v>32</v>
      </c>
      <c r="L964">
        <v>55</v>
      </c>
      <c r="M964" t="str">
        <f t="shared" si="15"/>
        <v>Middle Age</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Invalid</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Middle Age</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Middle Age</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Invalid</v>
      </c>
      <c r="N1000" t="s">
        <v>18</v>
      </c>
    </row>
    <row r="1001" spans="1:14" x14ac:dyDescent="0.2">
      <c r="A1001">
        <v>12121</v>
      </c>
      <c r="B1001" t="s">
        <v>37</v>
      </c>
      <c r="C1001" t="s">
        <v>39</v>
      </c>
      <c r="D1001" s="3">
        <v>60000</v>
      </c>
      <c r="E1001">
        <v>3</v>
      </c>
      <c r="F1001" t="s">
        <v>27</v>
      </c>
      <c r="G1001" t="s">
        <v>21</v>
      </c>
      <c r="H1001" t="s">
        <v>15</v>
      </c>
      <c r="I1001">
        <v>2</v>
      </c>
      <c r="J1001" t="s">
        <v>30</v>
      </c>
      <c r="K1001" t="s">
        <v>32</v>
      </c>
      <c r="L1001">
        <v>53</v>
      </c>
      <c r="M1001" t="str">
        <f t="shared" si="15"/>
        <v>Invalid</v>
      </c>
      <c r="N1001" t="s">
        <v>15</v>
      </c>
    </row>
  </sheetData>
  <autoFilter ref="A1:N1" xr:uid="{5EC7B7C1-192F-2D47-837C-B8996543BFF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67BF0-DC86-3C4B-A0CF-FB386D446944}">
  <dimension ref="A3:D86"/>
  <sheetViews>
    <sheetView zoomScale="110" zoomScaleNormal="110" workbookViewId="0">
      <selection activeCell="Q27" sqref="Q27"/>
    </sheetView>
  </sheetViews>
  <sheetFormatPr baseColWidth="10" defaultRowHeight="15" x14ac:dyDescent="0.2"/>
  <cols>
    <col min="1" max="1" width="19.83203125" bestFit="1" customWidth="1"/>
    <col min="2" max="2" width="14.83203125" bestFit="1" customWidth="1"/>
    <col min="3" max="3" width="7.6640625" bestFit="1" customWidth="1"/>
    <col min="4" max="4" width="10" bestFit="1" customWidth="1"/>
    <col min="5" max="5" width="13.83203125" bestFit="1" customWidth="1"/>
    <col min="6" max="6" width="24.1640625" bestFit="1" customWidth="1"/>
  </cols>
  <sheetData>
    <row r="3" spans="1:4" x14ac:dyDescent="0.2">
      <c r="A3" s="4" t="s">
        <v>43</v>
      </c>
      <c r="B3" s="4" t="s">
        <v>44</v>
      </c>
    </row>
    <row r="4" spans="1:4" x14ac:dyDescent="0.2">
      <c r="A4" s="4" t="s">
        <v>41</v>
      </c>
      <c r="B4" t="s">
        <v>18</v>
      </c>
      <c r="C4" t="s">
        <v>15</v>
      </c>
      <c r="D4" t="s">
        <v>42</v>
      </c>
    </row>
    <row r="5" spans="1:4" x14ac:dyDescent="0.2">
      <c r="A5" s="5" t="s">
        <v>38</v>
      </c>
      <c r="B5" s="3">
        <v>71111.111111111109</v>
      </c>
      <c r="C5" s="3">
        <v>76875</v>
      </c>
      <c r="D5" s="3">
        <v>73823.529411764699</v>
      </c>
    </row>
    <row r="6" spans="1:4" x14ac:dyDescent="0.2">
      <c r="A6" s="5" t="s">
        <v>39</v>
      </c>
      <c r="B6" s="3">
        <v>66774.193548387091</v>
      </c>
      <c r="C6" s="3">
        <v>61250</v>
      </c>
      <c r="D6" s="3">
        <v>65641.025641025641</v>
      </c>
    </row>
    <row r="7" spans="1:4" x14ac:dyDescent="0.2">
      <c r="A7" s="5" t="s">
        <v>42</v>
      </c>
      <c r="B7" s="3">
        <v>68367.346938775503</v>
      </c>
      <c r="C7" s="3">
        <v>71666.666666666672</v>
      </c>
      <c r="D7" s="3">
        <v>69452.054794520547</v>
      </c>
    </row>
    <row r="23" spans="1:4" x14ac:dyDescent="0.2">
      <c r="A23" s="4" t="s">
        <v>45</v>
      </c>
      <c r="B23" s="4" t="s">
        <v>44</v>
      </c>
    </row>
    <row r="24" spans="1:4" x14ac:dyDescent="0.2">
      <c r="A24" s="4" t="s">
        <v>41</v>
      </c>
      <c r="B24" t="s">
        <v>18</v>
      </c>
      <c r="C24" t="s">
        <v>15</v>
      </c>
      <c r="D24" t="s">
        <v>42</v>
      </c>
    </row>
    <row r="25" spans="1:4" x14ac:dyDescent="0.2">
      <c r="A25" s="5" t="s">
        <v>16</v>
      </c>
      <c r="B25">
        <v>12</v>
      </c>
      <c r="C25">
        <v>10</v>
      </c>
      <c r="D25">
        <v>22</v>
      </c>
    </row>
    <row r="26" spans="1:4" x14ac:dyDescent="0.2">
      <c r="A26" s="5" t="s">
        <v>26</v>
      </c>
      <c r="B26">
        <v>8</v>
      </c>
      <c r="C26">
        <v>5</v>
      </c>
      <c r="D26">
        <v>13</v>
      </c>
    </row>
    <row r="27" spans="1:4" x14ac:dyDescent="0.2">
      <c r="A27" s="5" t="s">
        <v>30</v>
      </c>
      <c r="B27">
        <v>16</v>
      </c>
      <c r="D27">
        <v>16</v>
      </c>
    </row>
    <row r="28" spans="1:4" x14ac:dyDescent="0.2">
      <c r="A28" s="5" t="s">
        <v>22</v>
      </c>
      <c r="B28">
        <v>9</v>
      </c>
      <c r="C28">
        <v>8</v>
      </c>
      <c r="D28">
        <v>17</v>
      </c>
    </row>
    <row r="29" spans="1:4" x14ac:dyDescent="0.2">
      <c r="A29" s="5" t="s">
        <v>23</v>
      </c>
      <c r="B29">
        <v>4</v>
      </c>
      <c r="C29">
        <v>1</v>
      </c>
      <c r="D29">
        <v>5</v>
      </c>
    </row>
    <row r="30" spans="1:4" x14ac:dyDescent="0.2">
      <c r="A30" s="5" t="s">
        <v>42</v>
      </c>
      <c r="B30">
        <v>49</v>
      </c>
      <c r="C30">
        <v>24</v>
      </c>
      <c r="D30">
        <v>73</v>
      </c>
    </row>
    <row r="41" spans="1:4" x14ac:dyDescent="0.2">
      <c r="A41" s="4" t="s">
        <v>45</v>
      </c>
      <c r="B41" s="4" t="s">
        <v>44</v>
      </c>
    </row>
    <row r="42" spans="1:4" x14ac:dyDescent="0.2">
      <c r="A42" s="4" t="s">
        <v>41</v>
      </c>
      <c r="B42" t="s">
        <v>18</v>
      </c>
      <c r="C42" t="s">
        <v>15</v>
      </c>
      <c r="D42" t="s">
        <v>42</v>
      </c>
    </row>
    <row r="43" spans="1:4" x14ac:dyDescent="0.2">
      <c r="A43" s="5" t="s">
        <v>46</v>
      </c>
      <c r="B43">
        <v>5</v>
      </c>
      <c r="C43">
        <v>2</v>
      </c>
      <c r="D43">
        <v>7</v>
      </c>
    </row>
    <row r="44" spans="1:4" x14ac:dyDescent="0.2">
      <c r="A44" s="5" t="s">
        <v>47</v>
      </c>
      <c r="B44">
        <v>20</v>
      </c>
      <c r="C44">
        <v>19</v>
      </c>
      <c r="D44">
        <v>39</v>
      </c>
    </row>
    <row r="45" spans="1:4" x14ac:dyDescent="0.2">
      <c r="A45" s="5" t="s">
        <v>48</v>
      </c>
      <c r="B45">
        <v>24</v>
      </c>
      <c r="C45">
        <v>3</v>
      </c>
      <c r="D45">
        <v>27</v>
      </c>
    </row>
    <row r="46" spans="1:4" x14ac:dyDescent="0.2">
      <c r="A46" s="5" t="s">
        <v>42</v>
      </c>
      <c r="B46">
        <v>49</v>
      </c>
      <c r="C46">
        <v>24</v>
      </c>
      <c r="D46">
        <v>73</v>
      </c>
    </row>
    <row r="61" spans="1:4" x14ac:dyDescent="0.2">
      <c r="A61" s="4" t="s">
        <v>45</v>
      </c>
      <c r="B61" s="4" t="s">
        <v>44</v>
      </c>
    </row>
    <row r="62" spans="1:4" x14ac:dyDescent="0.2">
      <c r="A62" s="4" t="s">
        <v>41</v>
      </c>
      <c r="B62" t="s">
        <v>18</v>
      </c>
      <c r="C62" t="s">
        <v>15</v>
      </c>
      <c r="D62" t="s">
        <v>42</v>
      </c>
    </row>
    <row r="63" spans="1:4" x14ac:dyDescent="0.2">
      <c r="A63" s="5">
        <v>34</v>
      </c>
      <c r="C63">
        <v>5</v>
      </c>
      <c r="D63">
        <v>5</v>
      </c>
    </row>
    <row r="64" spans="1:4" x14ac:dyDescent="0.2">
      <c r="A64" s="5">
        <v>35</v>
      </c>
      <c r="B64">
        <v>1</v>
      </c>
      <c r="D64">
        <v>1</v>
      </c>
    </row>
    <row r="65" spans="1:4" x14ac:dyDescent="0.2">
      <c r="A65" s="5">
        <v>36</v>
      </c>
      <c r="B65">
        <v>1</v>
      </c>
      <c r="C65">
        <v>1</v>
      </c>
      <c r="D65">
        <v>2</v>
      </c>
    </row>
    <row r="66" spans="1:4" x14ac:dyDescent="0.2">
      <c r="A66" s="5">
        <v>38</v>
      </c>
      <c r="B66">
        <v>2</v>
      </c>
      <c r="C66">
        <v>2</v>
      </c>
      <c r="D66">
        <v>4</v>
      </c>
    </row>
    <row r="67" spans="1:4" x14ac:dyDescent="0.2">
      <c r="A67" s="5">
        <v>40</v>
      </c>
      <c r="B67">
        <v>2</v>
      </c>
      <c r="D67">
        <v>2</v>
      </c>
    </row>
    <row r="68" spans="1:4" x14ac:dyDescent="0.2">
      <c r="A68" s="5">
        <v>41</v>
      </c>
      <c r="B68">
        <v>4</v>
      </c>
      <c r="D68">
        <v>4</v>
      </c>
    </row>
    <row r="69" spans="1:4" x14ac:dyDescent="0.2">
      <c r="A69" s="5">
        <v>42</v>
      </c>
      <c r="B69">
        <v>7</v>
      </c>
      <c r="C69">
        <v>1</v>
      </c>
      <c r="D69">
        <v>8</v>
      </c>
    </row>
    <row r="70" spans="1:4" x14ac:dyDescent="0.2">
      <c r="A70" s="5">
        <v>43</v>
      </c>
      <c r="B70">
        <v>2</v>
      </c>
      <c r="C70">
        <v>2</v>
      </c>
      <c r="D70">
        <v>4</v>
      </c>
    </row>
    <row r="71" spans="1:4" x14ac:dyDescent="0.2">
      <c r="A71" s="5">
        <v>44</v>
      </c>
      <c r="B71">
        <v>1</v>
      </c>
      <c r="C71">
        <v>2</v>
      </c>
      <c r="D71">
        <v>3</v>
      </c>
    </row>
    <row r="72" spans="1:4" x14ac:dyDescent="0.2">
      <c r="A72" s="5">
        <v>45</v>
      </c>
      <c r="B72">
        <v>1</v>
      </c>
      <c r="C72">
        <v>2</v>
      </c>
      <c r="D72">
        <v>3</v>
      </c>
    </row>
    <row r="73" spans="1:4" x14ac:dyDescent="0.2">
      <c r="A73" s="5">
        <v>46</v>
      </c>
      <c r="B73">
        <v>1</v>
      </c>
      <c r="D73">
        <v>1</v>
      </c>
    </row>
    <row r="74" spans="1:4" x14ac:dyDescent="0.2">
      <c r="A74" s="5">
        <v>47</v>
      </c>
      <c r="B74">
        <v>3</v>
      </c>
      <c r="C74">
        <v>1</v>
      </c>
      <c r="D74">
        <v>4</v>
      </c>
    </row>
    <row r="75" spans="1:4" x14ac:dyDescent="0.2">
      <c r="A75" s="5">
        <v>48</v>
      </c>
      <c r="C75">
        <v>4</v>
      </c>
      <c r="D75">
        <v>4</v>
      </c>
    </row>
    <row r="76" spans="1:4" x14ac:dyDescent="0.2">
      <c r="A76" s="5">
        <v>53</v>
      </c>
      <c r="C76">
        <v>1</v>
      </c>
      <c r="D76">
        <v>1</v>
      </c>
    </row>
    <row r="77" spans="1:4" x14ac:dyDescent="0.2">
      <c r="A77" s="5">
        <v>56</v>
      </c>
      <c r="B77">
        <v>2</v>
      </c>
      <c r="D77">
        <v>2</v>
      </c>
    </row>
    <row r="78" spans="1:4" x14ac:dyDescent="0.2">
      <c r="A78" s="5">
        <v>58</v>
      </c>
      <c r="B78">
        <v>1</v>
      </c>
      <c r="D78">
        <v>1</v>
      </c>
    </row>
    <row r="79" spans="1:4" x14ac:dyDescent="0.2">
      <c r="A79" s="5">
        <v>59</v>
      </c>
      <c r="B79">
        <v>6</v>
      </c>
      <c r="D79">
        <v>6</v>
      </c>
    </row>
    <row r="80" spans="1:4" x14ac:dyDescent="0.2">
      <c r="A80" s="5">
        <v>60</v>
      </c>
      <c r="B80">
        <v>3</v>
      </c>
      <c r="D80">
        <v>3</v>
      </c>
    </row>
    <row r="81" spans="1:4" x14ac:dyDescent="0.2">
      <c r="A81" s="5">
        <v>61</v>
      </c>
      <c r="B81">
        <v>1</v>
      </c>
      <c r="D81">
        <v>1</v>
      </c>
    </row>
    <row r="82" spans="1:4" x14ac:dyDescent="0.2">
      <c r="A82" s="5">
        <v>62</v>
      </c>
      <c r="B82">
        <v>1</v>
      </c>
      <c r="D82">
        <v>1</v>
      </c>
    </row>
    <row r="83" spans="1:4" x14ac:dyDescent="0.2">
      <c r="A83" s="5">
        <v>63</v>
      </c>
      <c r="B83">
        <v>3</v>
      </c>
      <c r="C83">
        <v>1</v>
      </c>
      <c r="D83">
        <v>4</v>
      </c>
    </row>
    <row r="84" spans="1:4" x14ac:dyDescent="0.2">
      <c r="A84" s="5">
        <v>64</v>
      </c>
      <c r="B84">
        <v>3</v>
      </c>
      <c r="C84">
        <v>1</v>
      </c>
      <c r="D84">
        <v>4</v>
      </c>
    </row>
    <row r="85" spans="1:4" x14ac:dyDescent="0.2">
      <c r="A85" s="5">
        <v>66</v>
      </c>
      <c r="B85">
        <v>4</v>
      </c>
      <c r="C85">
        <v>1</v>
      </c>
      <c r="D85">
        <v>5</v>
      </c>
    </row>
    <row r="86" spans="1:4" x14ac:dyDescent="0.2">
      <c r="A86" s="5" t="s">
        <v>42</v>
      </c>
      <c r="B86">
        <v>49</v>
      </c>
      <c r="C86">
        <v>24</v>
      </c>
      <c r="D86">
        <v>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D0EB4-6A38-0746-9FD5-BE33C2F76EDF}">
  <dimension ref="A1:N7"/>
  <sheetViews>
    <sheetView showGridLines="0" tabSelected="1" workbookViewId="0">
      <selection activeCell="R19" sqref="R19"/>
    </sheetView>
  </sheetViews>
  <sheetFormatPr baseColWidth="10" defaultRowHeight="15" x14ac:dyDescent="0.2"/>
  <sheetData>
    <row r="1" spans="1:14" x14ac:dyDescent="0.2">
      <c r="A1" s="6" t="s">
        <v>49</v>
      </c>
      <c r="B1" s="7"/>
      <c r="C1" s="7"/>
      <c r="D1" s="7"/>
      <c r="E1" s="7"/>
      <c r="F1" s="7"/>
      <c r="G1" s="7"/>
      <c r="H1" s="7"/>
      <c r="I1" s="7"/>
      <c r="J1" s="7"/>
      <c r="K1" s="7"/>
      <c r="L1" s="7"/>
      <c r="M1" s="7"/>
      <c r="N1" s="7"/>
    </row>
    <row r="2" spans="1:14" x14ac:dyDescent="0.2">
      <c r="A2" s="7"/>
      <c r="B2" s="7"/>
      <c r="C2" s="7"/>
      <c r="D2" s="7"/>
      <c r="E2" s="7"/>
      <c r="F2" s="7"/>
      <c r="G2" s="7"/>
      <c r="H2" s="7"/>
      <c r="I2" s="7"/>
      <c r="J2" s="7"/>
      <c r="K2" s="7"/>
      <c r="L2" s="7"/>
      <c r="M2" s="7"/>
      <c r="N2" s="7"/>
    </row>
    <row r="3" spans="1:14" x14ac:dyDescent="0.2">
      <c r="A3" s="7"/>
      <c r="B3" s="7"/>
      <c r="C3" s="7"/>
      <c r="D3" s="7"/>
      <c r="E3" s="7"/>
      <c r="F3" s="7"/>
      <c r="G3" s="7"/>
      <c r="H3" s="7"/>
      <c r="I3" s="7"/>
      <c r="J3" s="7"/>
      <c r="K3" s="7"/>
      <c r="L3" s="7"/>
      <c r="M3" s="7"/>
      <c r="N3" s="7"/>
    </row>
    <row r="4" spans="1:14" x14ac:dyDescent="0.2">
      <c r="A4" s="7"/>
      <c r="B4" s="7"/>
      <c r="C4" s="7"/>
      <c r="D4" s="7"/>
      <c r="E4" s="7"/>
      <c r="F4" s="7"/>
      <c r="G4" s="7"/>
      <c r="H4" s="7"/>
      <c r="I4" s="7"/>
      <c r="J4" s="7"/>
      <c r="K4" s="7"/>
      <c r="L4" s="7"/>
      <c r="M4" s="7"/>
      <c r="N4" s="7"/>
    </row>
    <row r="5" spans="1:14" x14ac:dyDescent="0.2">
      <c r="A5" s="7"/>
      <c r="B5" s="7"/>
      <c r="C5" s="7"/>
      <c r="D5" s="7"/>
      <c r="E5" s="7"/>
      <c r="F5" s="7"/>
      <c r="G5" s="7"/>
      <c r="H5" s="7"/>
      <c r="I5" s="7"/>
      <c r="J5" s="7"/>
      <c r="K5" s="7"/>
      <c r="L5" s="7"/>
      <c r="M5" s="7"/>
      <c r="N5" s="7"/>
    </row>
    <row r="6" spans="1:14" x14ac:dyDescent="0.2">
      <c r="A6" s="7"/>
      <c r="B6" s="7"/>
      <c r="C6" s="7"/>
      <c r="D6" s="7"/>
      <c r="E6" s="7"/>
      <c r="F6" s="7"/>
      <c r="G6" s="7"/>
      <c r="H6" s="7"/>
      <c r="I6" s="7"/>
      <c r="J6" s="7"/>
      <c r="K6" s="7"/>
      <c r="L6" s="7"/>
      <c r="M6" s="7"/>
      <c r="N6" s="7"/>
    </row>
    <row r="7" spans="1:14" x14ac:dyDescent="0.2">
      <c r="A7" s="7"/>
      <c r="B7" s="7"/>
      <c r="C7" s="7"/>
      <c r="D7" s="7"/>
      <c r="E7" s="7"/>
      <c r="F7" s="7"/>
      <c r="G7" s="7"/>
      <c r="H7" s="7"/>
      <c r="I7" s="7"/>
      <c r="J7" s="7"/>
      <c r="K7" s="7"/>
      <c r="L7" s="7"/>
      <c r="M7" s="7"/>
      <c r="N7" s="7"/>
    </row>
  </sheetData>
  <mergeCells count="1">
    <mergeCell ref="A1: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Tasbi Rafat</cp:lastModifiedBy>
  <dcterms:created xsi:type="dcterms:W3CDTF">2022-03-18T02:50:57Z</dcterms:created>
  <dcterms:modified xsi:type="dcterms:W3CDTF">2026-03-04T06:16:26Z</dcterms:modified>
</cp:coreProperties>
</file>